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LIENTS" sheetId="2" r:id="rId6"/>
    <sheet state="visible" name="LEADS" sheetId="3" r:id="rId7"/>
    <sheet state="visible" name="ACTIVITIES" sheetId="4" r:id="rId8"/>
    <sheet state="visible" name="TARGETS" sheetId="5" r:id="rId9"/>
    <sheet state="visible" name="MASTER_DATA" sheetId="6" r:id="rId10"/>
    <sheet state="visible" name="REPORT" sheetId="7" r:id="rId11"/>
    <sheet state="visible" name="CASO_02_ES" sheetId="8" r:id="rId12"/>
  </sheets>
  <definedNames/>
  <calcPr/>
</workbook>
</file>

<file path=xl/sharedStrings.xml><?xml version="1.0" encoding="utf-8"?>
<sst xmlns="http://schemas.openxmlformats.org/spreadsheetml/2006/main" count="3327" uniqueCount="681">
  <si>
    <t>Case 02 — Data Consolidation &amp; Reporting</t>
  </si>
  <si>
    <t>Portfolio Sample</t>
  </si>
  <si>
    <t>Synthetic business data — not real client work.</t>
  </si>
  <si>
    <t>Scenario</t>
  </si>
  <si>
    <t>Commercial information is distributed across separate client, lead, activity, and target files.</t>
  </si>
  <si>
    <t>Objective</t>
  </si>
  <si>
    <t>Consolidate the sources into a reliable master dataset and create a management report.</t>
  </si>
  <si>
    <t>Source 1</t>
  </si>
  <si>
    <t>CLIENTS — customer master data.</t>
  </si>
  <si>
    <t>Source 2</t>
  </si>
  <si>
    <t>LEADS — lead, channel, service, owner, status and estimated value.</t>
  </si>
  <si>
    <t>Source 3</t>
  </si>
  <si>
    <t>ACTIVITIES — commercial follow-up activity.</t>
  </si>
  <si>
    <t>Source 4</t>
  </si>
  <si>
    <t>TARGETS — monthly estimated-value targets by owner.</t>
  </si>
  <si>
    <t>Deliverable</t>
  </si>
  <si>
    <t>MASTER_DATA + REPORT with KPIs and visual summaries.</t>
  </si>
  <si>
    <t>Skills Demonstrated</t>
  </si>
  <si>
    <t>Data consolidation, lookups, COUNTIFS, SUMIFS, date logic, reporting and visualization.</t>
  </si>
  <si>
    <t>Portfolio Note</t>
  </si>
  <si>
    <t>This workbook is a synthetic portfolio exercise created to demonstrate workflow and spreadsheet skills.</t>
  </si>
  <si>
    <t>Lead_ID</t>
  </si>
  <si>
    <t>Activity_ID</t>
  </si>
  <si>
    <t>Client_ID</t>
  </si>
  <si>
    <t>Client_Name</t>
  </si>
  <si>
    <t>Activity_Date</t>
  </si>
  <si>
    <t>Created_Date</t>
  </si>
  <si>
    <t>Activity_Type</t>
  </si>
  <si>
    <t>Country</t>
  </si>
  <si>
    <t>Owner</t>
  </si>
  <si>
    <t>Lead_Source</t>
  </si>
  <si>
    <t>Service_Interest</t>
  </si>
  <si>
    <t>Segment</t>
  </si>
  <si>
    <t>ACT-001</t>
  </si>
  <si>
    <t>Client_Since</t>
  </si>
  <si>
    <t>Lead_Status</t>
  </si>
  <si>
    <t>LEAD-014</t>
  </si>
  <si>
    <t>Estimated_Value_USD</t>
  </si>
  <si>
    <t>CLI-001</t>
  </si>
  <si>
    <t>LEAD-001</t>
  </si>
  <si>
    <t>Meeting</t>
  </si>
  <si>
    <t>Client 001</t>
  </si>
  <si>
    <t>Alex</t>
  </si>
  <si>
    <t>CLI-008</t>
  </si>
  <si>
    <t>El Salvador</t>
  </si>
  <si>
    <t>ACT-002</t>
  </si>
  <si>
    <t>LinkedIn</t>
  </si>
  <si>
    <t>LEAD-027</t>
  </si>
  <si>
    <t>Professional Services</t>
  </si>
  <si>
    <t>Proposal</t>
  </si>
  <si>
    <t>Marta</t>
  </si>
  <si>
    <t>Website Chat Agent</t>
  </si>
  <si>
    <t>ACT-003</t>
  </si>
  <si>
    <t>CLI-002</t>
  </si>
  <si>
    <t>LEAD-040</t>
  </si>
  <si>
    <t>Qualified</t>
  </si>
  <si>
    <t>Client 002</t>
  </si>
  <si>
    <t>Follow-up</t>
  </si>
  <si>
    <t>United States</t>
  </si>
  <si>
    <t>Daniel</t>
  </si>
  <si>
    <t>E-commerce</t>
  </si>
  <si>
    <t>ACT-004</t>
  </si>
  <si>
    <t>LEAD-002</t>
  </si>
  <si>
    <t>LEAD-053</t>
  </si>
  <si>
    <t>CLI-015</t>
  </si>
  <si>
    <t>Website</t>
  </si>
  <si>
    <t>CLI-003</t>
  </si>
  <si>
    <t>Email</t>
  </si>
  <si>
    <t>Data Automation</t>
  </si>
  <si>
    <t>Client 003</t>
  </si>
  <si>
    <t>Colombia</t>
  </si>
  <si>
    <t>Sofia</t>
  </si>
  <si>
    <t>Proposal Sent</t>
  </si>
  <si>
    <t>Hospitality</t>
  </si>
  <si>
    <t>ACT-005</t>
  </si>
  <si>
    <t>LEAD-003</t>
  </si>
  <si>
    <t>LEAD-066</t>
  </si>
  <si>
    <t>CLI-022</t>
  </si>
  <si>
    <t>CLI-004</t>
  </si>
  <si>
    <t>Facebook</t>
  </si>
  <si>
    <t>Workflow Automation</t>
  </si>
  <si>
    <t>Client 004</t>
  </si>
  <si>
    <t>Mexico</t>
  </si>
  <si>
    <t>Won</t>
  </si>
  <si>
    <t>SMB</t>
  </si>
  <si>
    <t>ACT-006</t>
  </si>
  <si>
    <t>LEAD-004</t>
  </si>
  <si>
    <t>LEAD-079</t>
  </si>
  <si>
    <t>CLI-029</t>
  </si>
  <si>
    <t>Instagram</t>
  </si>
  <si>
    <t>CLI-005</t>
  </si>
  <si>
    <t>AI Voice Agent</t>
  </si>
  <si>
    <t>Client 005</t>
  </si>
  <si>
    <t>ACT-007</t>
  </si>
  <si>
    <t>Lost</t>
  </si>
  <si>
    <t>LEAD-092</t>
  </si>
  <si>
    <t>Spain</t>
  </si>
  <si>
    <t>LEAD-005</t>
  </si>
  <si>
    <t>CLI-036</t>
  </si>
  <si>
    <t>ACT-008</t>
  </si>
  <si>
    <t>Organic Search</t>
  </si>
  <si>
    <t>LEAD-105</t>
  </si>
  <si>
    <t>Document Processing</t>
  </si>
  <si>
    <t>CLI-006</t>
  </si>
  <si>
    <t>Client 006</t>
  </si>
  <si>
    <t>New</t>
  </si>
  <si>
    <t>ACT-009</t>
  </si>
  <si>
    <t>LEAD-006</t>
  </si>
  <si>
    <t>LEAD-118</t>
  </si>
  <si>
    <t>CLI-007</t>
  </si>
  <si>
    <t>Referral</t>
  </si>
  <si>
    <t>Client 007</t>
  </si>
  <si>
    <t>ACT-010</t>
  </si>
  <si>
    <t>LEAD-131</t>
  </si>
  <si>
    <t>LEAD-007</t>
  </si>
  <si>
    <t>CLI-050</t>
  </si>
  <si>
    <t>ACT-011</t>
  </si>
  <si>
    <t>LEAD-144</t>
  </si>
  <si>
    <t>Client 008</t>
  </si>
  <si>
    <t>ACT-012</t>
  </si>
  <si>
    <t>LEAD-157</t>
  </si>
  <si>
    <t>LEAD-008</t>
  </si>
  <si>
    <t>CLI-009</t>
  </si>
  <si>
    <t>CLI-057</t>
  </si>
  <si>
    <t>Client 009</t>
  </si>
  <si>
    <t>ACT-013</t>
  </si>
  <si>
    <t>LEAD-010</t>
  </si>
  <si>
    <t>CLI-010</t>
  </si>
  <si>
    <t>ACT-014</t>
  </si>
  <si>
    <t>LEAD-023</t>
  </si>
  <si>
    <t>Client 010</t>
  </si>
  <si>
    <t>LEAD-009</t>
  </si>
  <si>
    <t>CLI-064</t>
  </si>
  <si>
    <t>Month</t>
  </si>
  <si>
    <t>ACT-015</t>
  </si>
  <si>
    <t>CLI-011</t>
  </si>
  <si>
    <t>LEAD-036</t>
  </si>
  <si>
    <t>Client 011</t>
  </si>
  <si>
    <t>Target_Value_USD</t>
  </si>
  <si>
    <t>ACT-016</t>
  </si>
  <si>
    <t>LEAD-049</t>
  </si>
  <si>
    <t>CLI-012</t>
  </si>
  <si>
    <t>CLI-071</t>
  </si>
  <si>
    <t>ACT-017</t>
  </si>
  <si>
    <t>LEAD-062</t>
  </si>
  <si>
    <t>LEAD-011</t>
  </si>
  <si>
    <t>ACT-018</t>
  </si>
  <si>
    <t>LEAD-075</t>
  </si>
  <si>
    <t>CLI-078</t>
  </si>
  <si>
    <t>Client 012</t>
  </si>
  <si>
    <t>ACT-019</t>
  </si>
  <si>
    <t>LEAD-088</t>
  </si>
  <si>
    <t>LEAD-012</t>
  </si>
  <si>
    <t>ACT-020</t>
  </si>
  <si>
    <t>LEAD-101</t>
  </si>
  <si>
    <t>CLI-013</t>
  </si>
  <si>
    <t>ACT-021</t>
  </si>
  <si>
    <t>Client 013</t>
  </si>
  <si>
    <t>LEAD-114</t>
  </si>
  <si>
    <t>LEAD-013</t>
  </si>
  <si>
    <t>ACT-022</t>
  </si>
  <si>
    <t>LEAD-127</t>
  </si>
  <si>
    <t>CLI-014</t>
  </si>
  <si>
    <t>ACT-023</t>
  </si>
  <si>
    <t>LEAD-140</t>
  </si>
  <si>
    <t>Client 014</t>
  </si>
  <si>
    <t>Client 015</t>
  </si>
  <si>
    <t>LEAD-015</t>
  </si>
  <si>
    <t>ACT-024</t>
  </si>
  <si>
    <t>CLI-016</t>
  </si>
  <si>
    <t>LEAD-153</t>
  </si>
  <si>
    <t>ACT-025</t>
  </si>
  <si>
    <t>Client 016</t>
  </si>
  <si>
    <t>LEAD-016</t>
  </si>
  <si>
    <t>CLI-023</t>
  </si>
  <si>
    <t>ACT-026</t>
  </si>
  <si>
    <t>LEAD-019</t>
  </si>
  <si>
    <t>CLI-017</t>
  </si>
  <si>
    <t>Client 017</t>
  </si>
  <si>
    <t>ACT-027</t>
  </si>
  <si>
    <t>LEAD-032</t>
  </si>
  <si>
    <t>LEAD-017</t>
  </si>
  <si>
    <t>CLI-030</t>
  </si>
  <si>
    <t>ACT-028</t>
  </si>
  <si>
    <t>CLI-018</t>
  </si>
  <si>
    <t>LEAD-045</t>
  </si>
  <si>
    <t>Client 018</t>
  </si>
  <si>
    <t>ACT-029</t>
  </si>
  <si>
    <t>LEAD-058</t>
  </si>
  <si>
    <t>LEAD-018</t>
  </si>
  <si>
    <t>CLI-019</t>
  </si>
  <si>
    <t>Client 019</t>
  </si>
  <si>
    <t>ACT-030</t>
  </si>
  <si>
    <t>LEAD-071</t>
  </si>
  <si>
    <t>CLI-020</t>
  </si>
  <si>
    <t>CLI-044</t>
  </si>
  <si>
    <t>Client 020</t>
  </si>
  <si>
    <t>ACT-031</t>
  </si>
  <si>
    <t>LEAD-084</t>
  </si>
  <si>
    <t>ACT-032</t>
  </si>
  <si>
    <t>LEAD-097</t>
  </si>
  <si>
    <t>LEAD-020</t>
  </si>
  <si>
    <t>CLI-021</t>
  </si>
  <si>
    <t>CLI-051</t>
  </si>
  <si>
    <t>Client 021</t>
  </si>
  <si>
    <t>ACT-033</t>
  </si>
  <si>
    <t>LEAD-110</t>
  </si>
  <si>
    <t>ACT-034</t>
  </si>
  <si>
    <t>LEAD-021</t>
  </si>
  <si>
    <t>LEAD-123</t>
  </si>
  <si>
    <t>Client 022</t>
  </si>
  <si>
    <t>ACT-035</t>
  </si>
  <si>
    <t>CLI-058</t>
  </si>
  <si>
    <t>LEAD-136</t>
  </si>
  <si>
    <t>Client 023</t>
  </si>
  <si>
    <t>ACT-036</t>
  </si>
  <si>
    <t>LEAD-149</t>
  </si>
  <si>
    <t>CLI-024</t>
  </si>
  <si>
    <t>LEAD-022</t>
  </si>
  <si>
    <t>Client 024</t>
  </si>
  <si>
    <t>CLI-065</t>
  </si>
  <si>
    <t>ACT-037</t>
  </si>
  <si>
    <t>CLI-025</t>
  </si>
  <si>
    <t>Client 025</t>
  </si>
  <si>
    <t>ACT-038</t>
  </si>
  <si>
    <t>CLI-072</t>
  </si>
  <si>
    <t>CLI-026</t>
  </si>
  <si>
    <t>Client 026</t>
  </si>
  <si>
    <t>ACT-039</t>
  </si>
  <si>
    <t>LEAD-028</t>
  </si>
  <si>
    <t>LEAD-024</t>
  </si>
  <si>
    <t>CLI-027</t>
  </si>
  <si>
    <t>Client 027</t>
  </si>
  <si>
    <t>ACT-040</t>
  </si>
  <si>
    <t>LEAD-041</t>
  </si>
  <si>
    <t>CLI-028</t>
  </si>
  <si>
    <t>Client 028</t>
  </si>
  <si>
    <t>LEAD-025</t>
  </si>
  <si>
    <t>CLI-086</t>
  </si>
  <si>
    <t>ACT-041</t>
  </si>
  <si>
    <t>LEAD-054</t>
  </si>
  <si>
    <t>Client 029</t>
  </si>
  <si>
    <t>ACT-042</t>
  </si>
  <si>
    <t>LEAD-026</t>
  </si>
  <si>
    <t>LEAD-067</t>
  </si>
  <si>
    <t>Client 030</t>
  </si>
  <si>
    <t>ACT-043</t>
  </si>
  <si>
    <t>LEAD-080</t>
  </si>
  <si>
    <t>CLI-031</t>
  </si>
  <si>
    <t>Client 031</t>
  </si>
  <si>
    <t>ACT-044</t>
  </si>
  <si>
    <t>LEAD-093</t>
  </si>
  <si>
    <t>CLI-032</t>
  </si>
  <si>
    <t>Client 032</t>
  </si>
  <si>
    <t>ACT-045</t>
  </si>
  <si>
    <t>LEAD-106</t>
  </si>
  <si>
    <t>CLI-033</t>
  </si>
  <si>
    <t>Client 033</t>
  </si>
  <si>
    <t>LEAD-029</t>
  </si>
  <si>
    <t>ACT-046</t>
  </si>
  <si>
    <t>LEAD-119</t>
  </si>
  <si>
    <t>CLI-034</t>
  </si>
  <si>
    <t>Client 034</t>
  </si>
  <si>
    <t>ACT-047</t>
  </si>
  <si>
    <t>LEAD-030</t>
  </si>
  <si>
    <t>LEAD-132</t>
  </si>
  <si>
    <t>CLI-035</t>
  </si>
  <si>
    <t>Client 035</t>
  </si>
  <si>
    <t>LEAD-031</t>
  </si>
  <si>
    <t>CLI-038</t>
  </si>
  <si>
    <t>ACT-048</t>
  </si>
  <si>
    <t>LEAD-145</t>
  </si>
  <si>
    <t>Client 036</t>
  </si>
  <si>
    <t>ACT-049</t>
  </si>
  <si>
    <t>CLI-045</t>
  </si>
  <si>
    <t>LEAD-158</t>
  </si>
  <si>
    <t>CLI-037</t>
  </si>
  <si>
    <t>Client 037</t>
  </si>
  <si>
    <t>ACT-050</t>
  </si>
  <si>
    <t>LEAD-033</t>
  </si>
  <si>
    <t>CLI-052</t>
  </si>
  <si>
    <t>Client 038</t>
  </si>
  <si>
    <t>CLI-039</t>
  </si>
  <si>
    <t>ACT-051</t>
  </si>
  <si>
    <t>Client 039</t>
  </si>
  <si>
    <t>LEAD-034</t>
  </si>
  <si>
    <t>CLI-059</t>
  </si>
  <si>
    <t>CLI-040</t>
  </si>
  <si>
    <t>Client 040</t>
  </si>
  <si>
    <t>ACT-052</t>
  </si>
  <si>
    <t>LEAD-037</t>
  </si>
  <si>
    <t>LEAD-035</t>
  </si>
  <si>
    <t>CLI-066</t>
  </si>
  <si>
    <t>CLI-041</t>
  </si>
  <si>
    <t>Client 041</t>
  </si>
  <si>
    <t>ACT-053</t>
  </si>
  <si>
    <t>LEAD-050</t>
  </si>
  <si>
    <t>CLI-042</t>
  </si>
  <si>
    <t>Client 042</t>
  </si>
  <si>
    <t>ACT-054</t>
  </si>
  <si>
    <t>LEAD-063</t>
  </si>
  <si>
    <t>CLI-043</t>
  </si>
  <si>
    <t>Client 043</t>
  </si>
  <si>
    <t>ACT-055</t>
  </si>
  <si>
    <t>LEAD-076</t>
  </si>
  <si>
    <t>Client 044</t>
  </si>
  <si>
    <t>CLI-080</t>
  </si>
  <si>
    <t>ACT-056</t>
  </si>
  <si>
    <t>LEAD-089</t>
  </si>
  <si>
    <t>Client 045</t>
  </si>
  <si>
    <t>LEAD-038</t>
  </si>
  <si>
    <t>CLI-087</t>
  </si>
  <si>
    <t>CLI-046</t>
  </si>
  <si>
    <t>ACT-057</t>
  </si>
  <si>
    <t>Client 046</t>
  </si>
  <si>
    <t>LEAD-102</t>
  </si>
  <si>
    <t>LEAD-039</t>
  </si>
  <si>
    <t>CLI-047</t>
  </si>
  <si>
    <t>Client 047</t>
  </si>
  <si>
    <t>ACT-058</t>
  </si>
  <si>
    <t>LEAD-115</t>
  </si>
  <si>
    <t>CLI-048</t>
  </si>
  <si>
    <t>Client 048</t>
  </si>
  <si>
    <t>Activity_Count</t>
  </si>
  <si>
    <t>Last_Activity_Date</t>
  </si>
  <si>
    <t>CLI-049</t>
  </si>
  <si>
    <t>Client 049</t>
  </si>
  <si>
    <t>ACT-059</t>
  </si>
  <si>
    <t>LEAD-128</t>
  </si>
  <si>
    <t>Client 050</t>
  </si>
  <si>
    <t>ACT-060</t>
  </si>
  <si>
    <t>LEAD-141</t>
  </si>
  <si>
    <t>Client 051</t>
  </si>
  <si>
    <t>ACT-061</t>
  </si>
  <si>
    <t>LEAD-154</t>
  </si>
  <si>
    <t>Client 052</t>
  </si>
  <si>
    <t>ACT-062</t>
  </si>
  <si>
    <t>CLI-053</t>
  </si>
  <si>
    <t>LEAD-042</t>
  </si>
  <si>
    <t>Client 053</t>
  </si>
  <si>
    <t>ACT-063</t>
  </si>
  <si>
    <t>CLI-054</t>
  </si>
  <si>
    <t>Client 054</t>
  </si>
  <si>
    <t>ACT-064</t>
  </si>
  <si>
    <t>LEAD-043</t>
  </si>
  <si>
    <t>CLI-055</t>
  </si>
  <si>
    <t>Client 055</t>
  </si>
  <si>
    <t>CLI-056</t>
  </si>
  <si>
    <t>Client 056</t>
  </si>
  <si>
    <t>LEAD-044</t>
  </si>
  <si>
    <t>ACT-065</t>
  </si>
  <si>
    <t>LEAD-046</t>
  </si>
  <si>
    <t>Client 057</t>
  </si>
  <si>
    <t>ACT-066</t>
  </si>
  <si>
    <t>LEAD-059</t>
  </si>
  <si>
    <t>Client 058</t>
  </si>
  <si>
    <t>ACT-067</t>
  </si>
  <si>
    <t>Client 059</t>
  </si>
  <si>
    <t>LEAD-072</t>
  </si>
  <si>
    <t>CLI-060</t>
  </si>
  <si>
    <t>Client 060</t>
  </si>
  <si>
    <t>ACT-068</t>
  </si>
  <si>
    <t>LEAD-085</t>
  </si>
  <si>
    <t>CLI-061</t>
  </si>
  <si>
    <t>LEAD-047</t>
  </si>
  <si>
    <t>Client 061</t>
  </si>
  <si>
    <t>ACT-069</t>
  </si>
  <si>
    <t>LEAD-098</t>
  </si>
  <si>
    <t>CLI-062</t>
  </si>
  <si>
    <t>Client 062</t>
  </si>
  <si>
    <t>ACT-070</t>
  </si>
  <si>
    <t>LEAD-048</t>
  </si>
  <si>
    <t>LEAD-111</t>
  </si>
  <si>
    <t>CLI-063</t>
  </si>
  <si>
    <t>Client 063</t>
  </si>
  <si>
    <t>ACT-071</t>
  </si>
  <si>
    <t>LEAD-124</t>
  </si>
  <si>
    <t>CLI-074</t>
  </si>
  <si>
    <t>Client 064</t>
  </si>
  <si>
    <t>ACT-072</t>
  </si>
  <si>
    <t>LEAD-137</t>
  </si>
  <si>
    <t>Client 065</t>
  </si>
  <si>
    <t>ACT-073</t>
  </si>
  <si>
    <t>LEAD-150</t>
  </si>
  <si>
    <t>CLI-081</t>
  </si>
  <si>
    <t>Client 066</t>
  </si>
  <si>
    <t>CLI-067</t>
  </si>
  <si>
    <t>Client 067</t>
  </si>
  <si>
    <t>ACT-074</t>
  </si>
  <si>
    <t>CLI-068</t>
  </si>
  <si>
    <t>LEAD-051</t>
  </si>
  <si>
    <t>CLI-088</t>
  </si>
  <si>
    <t>Client 068</t>
  </si>
  <si>
    <t>ACT-075</t>
  </si>
  <si>
    <t>CLI-069</t>
  </si>
  <si>
    <t>LEAD-052</t>
  </si>
  <si>
    <t>Client 069</t>
  </si>
  <si>
    <t>ACT-076</t>
  </si>
  <si>
    <t>CLI-070</t>
  </si>
  <si>
    <t>Client 070</t>
  </si>
  <si>
    <t>ACT-077</t>
  </si>
  <si>
    <t>Client 071</t>
  </si>
  <si>
    <t>ACT-078</t>
  </si>
  <si>
    <t>LEAD-055</t>
  </si>
  <si>
    <t>Client 072</t>
  </si>
  <si>
    <t>ACT-079</t>
  </si>
  <si>
    <t>LEAD-068</t>
  </si>
  <si>
    <t>CLI-073</t>
  </si>
  <si>
    <t>Client 073</t>
  </si>
  <si>
    <t>ACT-080</t>
  </si>
  <si>
    <t>LEAD-081</t>
  </si>
  <si>
    <t>LEAD-056</t>
  </si>
  <si>
    <t>ACT-081</t>
  </si>
  <si>
    <t>LEAD-057</t>
  </si>
  <si>
    <t>Client 074</t>
  </si>
  <si>
    <t>LEAD-094</t>
  </si>
  <si>
    <t>CLI-075</t>
  </si>
  <si>
    <t>ACT-082</t>
  </si>
  <si>
    <t>Client 075</t>
  </si>
  <si>
    <t>LEAD-107</t>
  </si>
  <si>
    <t>CLI-076</t>
  </si>
  <si>
    <t>ACT-083</t>
  </si>
  <si>
    <t>Client 076</t>
  </si>
  <si>
    <t>LEAD-120</t>
  </si>
  <si>
    <t>CLI-077</t>
  </si>
  <si>
    <t>ACT-084</t>
  </si>
  <si>
    <t>Client 077</t>
  </si>
  <si>
    <t>LEAD-133</t>
  </si>
  <si>
    <t>Client 078</t>
  </si>
  <si>
    <t>ACT-085</t>
  </si>
  <si>
    <t>LEAD-146</t>
  </si>
  <si>
    <t>CLI-079</t>
  </si>
  <si>
    <t>LEAD-060</t>
  </si>
  <si>
    <t>Client 079</t>
  </si>
  <si>
    <t>ACT-086</t>
  </si>
  <si>
    <t>LEAD-159</t>
  </si>
  <si>
    <t>Client 080</t>
  </si>
  <si>
    <t>LEAD-061</t>
  </si>
  <si>
    <t>ACT-087</t>
  </si>
  <si>
    <t>Client 081</t>
  </si>
  <si>
    <t>ACT-088</t>
  </si>
  <si>
    <t>CLI-082</t>
  </si>
  <si>
    <t>Client 082</t>
  </si>
  <si>
    <t>ACT-089</t>
  </si>
  <si>
    <t>CLI-083</t>
  </si>
  <si>
    <t>Client 083</t>
  </si>
  <si>
    <t>CLI-084</t>
  </si>
  <si>
    <t>ACT-090</t>
  </si>
  <si>
    <t>Client 084</t>
  </si>
  <si>
    <t>LEAD-064</t>
  </si>
  <si>
    <t>CLI-089</t>
  </si>
  <si>
    <t>CLI-085</t>
  </si>
  <si>
    <t>Client 085</t>
  </si>
  <si>
    <t>ACT-091</t>
  </si>
  <si>
    <t>LEAD-065</t>
  </si>
  <si>
    <t>Client 086</t>
  </si>
  <si>
    <t>ACT-092</t>
  </si>
  <si>
    <t>LEAD-077</t>
  </si>
  <si>
    <t>Client 087</t>
  </si>
  <si>
    <t>ACT-093</t>
  </si>
  <si>
    <t>LEAD-090</t>
  </si>
  <si>
    <t>Client 088</t>
  </si>
  <si>
    <t>ACT-094</t>
  </si>
  <si>
    <t>LEAD-103</t>
  </si>
  <si>
    <t>Client 089</t>
  </si>
  <si>
    <t>ACT-095</t>
  </si>
  <si>
    <t>CLI-090</t>
  </si>
  <si>
    <t>LEAD-116</t>
  </si>
  <si>
    <t>Client 090</t>
  </si>
  <si>
    <t>ACT-096</t>
  </si>
  <si>
    <t>LEAD-129</t>
  </si>
  <si>
    <t>LEAD-069</t>
  </si>
  <si>
    <t>ACT-097</t>
  </si>
  <si>
    <t>LEAD-142</t>
  </si>
  <si>
    <t>LEAD-070</t>
  </si>
  <si>
    <t>ACT-098</t>
  </si>
  <si>
    <t>LEAD-155</t>
  </si>
  <si>
    <t>ACT-099</t>
  </si>
  <si>
    <t>ACT-100</t>
  </si>
  <si>
    <t>ACT-101</t>
  </si>
  <si>
    <t>ACT-102</t>
  </si>
  <si>
    <t>ACT-103</t>
  </si>
  <si>
    <t>LEAD-073</t>
  </si>
  <si>
    <t>ACT-104</t>
  </si>
  <si>
    <t>LEAD-074</t>
  </si>
  <si>
    <t>ACT-105</t>
  </si>
  <si>
    <t>LEAD-086</t>
  </si>
  <si>
    <t>ACT-106</t>
  </si>
  <si>
    <t>LEAD-099</t>
  </si>
  <si>
    <t>ACT-107</t>
  </si>
  <si>
    <t>LEAD-112</t>
  </si>
  <si>
    <t>ACT-108</t>
  </si>
  <si>
    <t>LEAD-125</t>
  </si>
  <si>
    <t>ACT-109</t>
  </si>
  <si>
    <t>LEAD-138</t>
  </si>
  <si>
    <t>ACT-110</t>
  </si>
  <si>
    <t>LEAD-151</t>
  </si>
  <si>
    <t>ACT-111</t>
  </si>
  <si>
    <t>LEAD-078</t>
  </si>
  <si>
    <t>ACT-112</t>
  </si>
  <si>
    <t>ACT-113</t>
  </si>
  <si>
    <t>ACT-114</t>
  </si>
  <si>
    <t>ACT-115</t>
  </si>
  <si>
    <t>ACT-116</t>
  </si>
  <si>
    <t>ACT-117</t>
  </si>
  <si>
    <t>LEAD-082</t>
  </si>
  <si>
    <t>ACT-118</t>
  </si>
  <si>
    <t>LEAD-095</t>
  </si>
  <si>
    <t>ACT-119</t>
  </si>
  <si>
    <t>LEAD-108</t>
  </si>
  <si>
    <t>ACT-120</t>
  </si>
  <si>
    <t>LEAD-083</t>
  </si>
  <si>
    <t>LEAD-121</t>
  </si>
  <si>
    <t>ACT-121</t>
  </si>
  <si>
    <t>LEAD-134</t>
  </si>
  <si>
    <t>ACT-122</t>
  </si>
  <si>
    <t>LEAD-147</t>
  </si>
  <si>
    <t>ACT-123</t>
  </si>
  <si>
    <t>LEAD-160</t>
  </si>
  <si>
    <t>ACT-124</t>
  </si>
  <si>
    <t>ACT-125</t>
  </si>
  <si>
    <t>ACT-126</t>
  </si>
  <si>
    <t>LEAD-087</t>
  </si>
  <si>
    <t>ACT-127</t>
  </si>
  <si>
    <t>ACT-128</t>
  </si>
  <si>
    <t>ACT-129</t>
  </si>
  <si>
    <t>ACT-130</t>
  </si>
  <si>
    <t>LEAD-091</t>
  </si>
  <si>
    <t>ACT-131</t>
  </si>
  <si>
    <t>LEAD-104</t>
  </si>
  <si>
    <t>ACT-132</t>
  </si>
  <si>
    <t>LEAD-117</t>
  </si>
  <si>
    <t>ACT-133</t>
  </si>
  <si>
    <t>LEAD-130</t>
  </si>
  <si>
    <t>ACT-134</t>
  </si>
  <si>
    <t>LEAD-143</t>
  </si>
  <si>
    <t>ACT-135</t>
  </si>
  <si>
    <t>LEAD-156</t>
  </si>
  <si>
    <t>ACT-136</t>
  </si>
  <si>
    <t>ACT-137</t>
  </si>
  <si>
    <t>ACT-138</t>
  </si>
  <si>
    <t>ACT-139</t>
  </si>
  <si>
    <t>ACT-140</t>
  </si>
  <si>
    <t>ACT-141</t>
  </si>
  <si>
    <t>ACT-142</t>
  </si>
  <si>
    <t>LEAD-096</t>
  </si>
  <si>
    <t>ACT-143</t>
  </si>
  <si>
    <t>LEAD-100</t>
  </si>
  <si>
    <t>ACT-144</t>
  </si>
  <si>
    <t>LEAD-113</t>
  </si>
  <si>
    <t>ACT-145</t>
  </si>
  <si>
    <t>LEAD-126</t>
  </si>
  <si>
    <t>ACT-146</t>
  </si>
  <si>
    <t>LEAD-139</t>
  </si>
  <si>
    <t>ACT-147</t>
  </si>
  <si>
    <t>LEAD-152</t>
  </si>
  <si>
    <t>ACT-148</t>
  </si>
  <si>
    <t>ACT-149</t>
  </si>
  <si>
    <t>ACT-150</t>
  </si>
  <si>
    <t>ACT-151</t>
  </si>
  <si>
    <t>ACT-152</t>
  </si>
  <si>
    <t>ACT-153</t>
  </si>
  <si>
    <t>ACT-154</t>
  </si>
  <si>
    <t>ACT-155</t>
  </si>
  <si>
    <t>ACT-156</t>
  </si>
  <si>
    <t>LEAD-109</t>
  </si>
  <si>
    <t>ACT-157</t>
  </si>
  <si>
    <t>LEAD-122</t>
  </si>
  <si>
    <t>ACT-158</t>
  </si>
  <si>
    <t>LEAD-135</t>
  </si>
  <si>
    <t>ACT-159</t>
  </si>
  <si>
    <t>LEAD-148</t>
  </si>
  <si>
    <t>ACT-160</t>
  </si>
  <si>
    <t>ACT-161</t>
  </si>
  <si>
    <t>ACT-162</t>
  </si>
  <si>
    <t>Business Consolidation &amp; Performance Report</t>
  </si>
  <si>
    <t>ACT-163</t>
  </si>
  <si>
    <t>Portfolio Sample — Synthetic Multi-Source Business Data</t>
  </si>
  <si>
    <t>Total Leads</t>
  </si>
  <si>
    <t>Estimated Pipeline</t>
  </si>
  <si>
    <t>ACT-164</t>
  </si>
  <si>
    <t>Won Leads</t>
  </si>
  <si>
    <t>Conversion Rate</t>
  </si>
  <si>
    <t>Commercial Activities</t>
  </si>
  <si>
    <t>ACT-165</t>
  </si>
  <si>
    <t>ACT-166</t>
  </si>
  <si>
    <t>ACT-167</t>
  </si>
  <si>
    <t>ACT-168</t>
  </si>
  <si>
    <t>ACT-169</t>
  </si>
  <si>
    <t>Lead Status</t>
  </si>
  <si>
    <t>Count</t>
  </si>
  <si>
    <t>Lead Source</t>
  </si>
  <si>
    <t>Service Interest</t>
  </si>
  <si>
    <t>Pipeline Value</t>
  </si>
  <si>
    <t>ACT-170</t>
  </si>
  <si>
    <t>ACT-171</t>
  </si>
  <si>
    <t>ACT-172</t>
  </si>
  <si>
    <t>ACT-173</t>
  </si>
  <si>
    <t>ACT-174</t>
  </si>
  <si>
    <t>ACT-175</t>
  </si>
  <si>
    <t>ACT-176</t>
  </si>
  <si>
    <t>ACT-177</t>
  </si>
  <si>
    <t>Target (Jan-Aug)</t>
  </si>
  <si>
    <t>ACT-178</t>
  </si>
  <si>
    <t>ACT-179</t>
  </si>
  <si>
    <t>ACT-180</t>
  </si>
  <si>
    <t>ACT-181</t>
  </si>
  <si>
    <t>ACT-182</t>
  </si>
  <si>
    <t>ACT-183</t>
  </si>
  <si>
    <t>ACT-184</t>
  </si>
  <si>
    <t>ACT-185</t>
  </si>
  <si>
    <t>ACT-186</t>
  </si>
  <si>
    <t>ACT-187</t>
  </si>
  <si>
    <t>ACT-188</t>
  </si>
  <si>
    <t>ACT-189</t>
  </si>
  <si>
    <t>ACT-190</t>
  </si>
  <si>
    <t>ACT-191</t>
  </si>
  <si>
    <t>ACT-192</t>
  </si>
  <si>
    <t>ACT-193</t>
  </si>
  <si>
    <t>ACT-194</t>
  </si>
  <si>
    <t>ACT-195</t>
  </si>
  <si>
    <t>ACT-196</t>
  </si>
  <si>
    <t>ACT-197</t>
  </si>
  <si>
    <t>ACT-198</t>
  </si>
  <si>
    <t>ACT-199</t>
  </si>
  <si>
    <t>ACT-200</t>
  </si>
  <si>
    <t>ACT-201</t>
  </si>
  <si>
    <t>ACT-202</t>
  </si>
  <si>
    <t>ACT-203</t>
  </si>
  <si>
    <t>ACT-204</t>
  </si>
  <si>
    <t>ACT-205</t>
  </si>
  <si>
    <t>ACT-206</t>
  </si>
  <si>
    <t>ACT-207</t>
  </si>
  <si>
    <t>CASO 02 — Consolidación de Datos y Reporting</t>
  </si>
  <si>
    <t>TIPO</t>
  </si>
  <si>
    <t>Proyecto de muestra con datos sintéticos</t>
  </si>
  <si>
    <t>PROBLEMA</t>
  </si>
  <si>
    <t>La información comercial estaba distribuida en cuatro fuentes: clientes, leads, actividades y objetivos mensuales.</t>
  </si>
  <si>
    <t>OBJETIVO</t>
  </si>
  <si>
    <t>Consolidar las fuentes en una base maestra y convertirlas en un reporte de gestión con KPIs y visualizaciones.</t>
  </si>
  <si>
    <t>PROCESO</t>
  </si>
  <si>
    <t>Relacioné las fuentes mediante identificadores, incorporé datos de clientes con búsquedas, resumí actividad comercial, organicé fechas y construí métricas de desempeño.</t>
  </si>
  <si>
    <t>RESULTADO</t>
  </si>
  <si>
    <t>Una base MASTER_DATA consolidada y un dashboard que permite analizar pipeline, conversión, fuentes, servicios, actividad y desempeño frente a objetivos.</t>
  </si>
  <si>
    <t>HERRAMIENTAS</t>
  </si>
  <si>
    <t>ACT-208</t>
  </si>
  <si>
    <t>Excel / Google Sheets · VLOOKUP/BUSCARV · COUNTIF/CONTAR.SI · SUMIF/SUMAR.SI · manejo de fechas · tablas · gráficos</t>
  </si>
  <si>
    <t>EVIDENCIA</t>
  </si>
  <si>
    <t>Las hojas CLIENTS, LEADS, ACTIVITIES y TARGETS representan los archivos de origen; MASTER_DATA es la consolidación; REPORT es el entregable visual.</t>
  </si>
  <si>
    <t>ACT-209</t>
  </si>
  <si>
    <t>ACT-210</t>
  </si>
  <si>
    <t>ACT-211</t>
  </si>
  <si>
    <t>ACT-212</t>
  </si>
  <si>
    <t>ACT-213</t>
  </si>
  <si>
    <t>ACT-214</t>
  </si>
  <si>
    <t>ACT-215</t>
  </si>
  <si>
    <t>ACT-216</t>
  </si>
  <si>
    <t>ACT-217</t>
  </si>
  <si>
    <t>ACT-218</t>
  </si>
  <si>
    <t>ACT-219</t>
  </si>
  <si>
    <t>ACT-220</t>
  </si>
  <si>
    <t>ACT-221</t>
  </si>
  <si>
    <t>ACT-222</t>
  </si>
  <si>
    <t>ACT-223</t>
  </si>
  <si>
    <t>ACT-224</t>
  </si>
  <si>
    <t>ACT-225</t>
  </si>
  <si>
    <t>ACT-226</t>
  </si>
  <si>
    <t>ACT-227</t>
  </si>
  <si>
    <t>ACT-228</t>
  </si>
  <si>
    <t>ACT-229</t>
  </si>
  <si>
    <t>ACT-230</t>
  </si>
  <si>
    <t>ACT-231</t>
  </si>
  <si>
    <t>ACT-232</t>
  </si>
  <si>
    <t>ACT-233</t>
  </si>
  <si>
    <t>ACT-234</t>
  </si>
  <si>
    <t>ACT-235</t>
  </si>
  <si>
    <t>ACT-236</t>
  </si>
  <si>
    <t>ACT-237</t>
  </si>
  <si>
    <t>ACT-238</t>
  </si>
  <si>
    <t>ACT-239</t>
  </si>
  <si>
    <t>ACT-240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</si>
</sst>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$#,##0"/>
    <numFmt numFmtId="166" formatCode="0.0%"/>
  </numFmts>
  <fonts count="8">
    <font>
      <sz val="11.0"/>
      <color rgb="FF000000"/>
      <name val="Carlito"/>
      <scheme val="minor"/>
    </font>
    <font>
      <b/>
      <sz val="20.0"/>
      <color rgb="FF17365D"/>
      <name val="Carlito"/>
    </font>
    <font>
      <b/>
      <sz val="11.0"/>
      <color rgb="FF17365D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i/>
      <sz val="11.0"/>
      <color rgb="FF5B6573"/>
      <name val="Carlito"/>
    </font>
    <font>
      <b/>
      <sz val="16.0"/>
      <color rgb="FF1F2937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  <fill>
      <patternFill patternType="solid">
        <fgColor rgb="FFEAF2F8"/>
        <bgColor rgb="FFEAF2F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6" numFmtId="0" xfId="0" applyFont="1"/>
    <xf borderId="0" fillId="4" fontId="2" numFmtId="0" xfId="0" applyFill="1" applyFont="1"/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3" fontId="4" numFmtId="0" xfId="0" applyAlignment="1" applyFill="1" applyFont="1">
      <alignment horizontal="center" vertical="center"/>
    </xf>
    <xf borderId="0" fillId="0" fontId="5" numFmtId="0" xfId="0" applyFont="1"/>
    <xf borderId="0" fillId="0" fontId="3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ACTIV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G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 Status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REPORT!$A$9:$A$13</c:f>
            </c:strRef>
          </c:cat>
          <c:val>
            <c:numRef>
              <c:f>REPORT!$B$9:$B$13</c:f>
              <c:numCache/>
            </c:numRef>
          </c:val>
        </c:ser>
        <c:axId val="2107221457"/>
        <c:axId val="1032394914"/>
      </c:barChart>
      <c:catAx>
        <c:axId val="2107221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394914"/>
      </c:catAx>
      <c:valAx>
        <c:axId val="1032394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22145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by Source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REPORT!$D$9:$D$14</c:f>
            </c:strRef>
          </c:cat>
          <c:val>
            <c:numRef>
              <c:f>REPORT!$E$9:$E$14</c:f>
              <c:numCache/>
            </c:numRef>
          </c:val>
        </c:ser>
        <c:axId val="1094494922"/>
        <c:axId val="15041153"/>
      </c:barChart>
      <c:catAx>
        <c:axId val="1094494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1153"/>
      </c:catAx>
      <c:valAx>
        <c:axId val="15041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49492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Pipeline by Service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Pipeline Value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REPORT!$G$9:$G$13</c:f>
            </c:strRef>
          </c:cat>
          <c:val>
            <c:numRef>
              <c:f>REPORT!$H$9:$H$13</c:f>
              <c:numCache/>
            </c:numRef>
          </c:val>
        </c:ser>
        <c:axId val="1988468021"/>
        <c:axId val="1788864510"/>
      </c:barChart>
      <c:catAx>
        <c:axId val="1988468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864510"/>
      </c:catAx>
      <c:valAx>
        <c:axId val="1788864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46802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Pipeline vs Target by Owner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Pipeline Value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REPORT!$A$18:$A$21</c:f>
            </c:strRef>
          </c:cat>
          <c:val>
            <c:numRef>
              <c:f>REPORT!$B$18:$B$21</c:f>
              <c:numCache/>
            </c:numRef>
          </c:val>
        </c:ser>
        <c:ser>
          <c:idx val="1"/>
          <c:order val="1"/>
          <c:tx>
            <c:v>Target (Jan-Aug)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REPORT!$A$18:$A$21</c:f>
            </c:strRef>
          </c:cat>
          <c:val>
            <c:numRef>
              <c:f>REPORT!$C$18:$C$21</c:f>
              <c:numCache/>
            </c:numRef>
          </c:val>
        </c:ser>
        <c:axId val="1346930160"/>
        <c:axId val="890589746"/>
      </c:barChart>
      <c:catAx>
        <c:axId val="1346930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589746"/>
      </c:catAx>
      <c:valAx>
        <c:axId val="890589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9301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68580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6143625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0</xdr:rowOff>
    </xdr:from>
    <xdr:ext cx="6858000" cy="3200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40</xdr:row>
      <xdr:rowOff>0</xdr:rowOff>
    </xdr:from>
    <xdr:ext cx="6143625" cy="32004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1" displayName="ClientsTable" name="ClientsTable" id="1">
  <tableColumns count="5">
    <tableColumn name="Client_ID" id="1"/>
    <tableColumn name="Client_Name" id="2"/>
    <tableColumn name="Country" id="3"/>
    <tableColumn name="Segment" id="4"/>
    <tableColumn name="Client_Since" id="5"/>
  </tableColumns>
  <tableStyleInfo name="CLIENTS-style" showColumnStripes="0" showFirstColumn="1" showLastColumn="1" showRowStripes="1"/>
</table>
</file>

<file path=xl/tables/table2.xml><?xml version="1.0" encoding="utf-8"?>
<table xmlns="http://schemas.openxmlformats.org/spreadsheetml/2006/main" ref="A1:H161" displayName="LeadsTable" name="LeadsTable" id="3">
  <tableColumns count="8">
    <tableColumn name="Lead_ID" id="1"/>
    <tableColumn name="Client_ID" id="2"/>
    <tableColumn name="Created_Date" id="3"/>
    <tableColumn name="Lead_Source" id="4"/>
    <tableColumn name="Service_Interest" id="5"/>
    <tableColumn name="Owner" id="6"/>
    <tableColumn name="Lead_Status" id="7"/>
    <tableColumn name="Estimated_Value_USD" id="8"/>
  </tableColumns>
  <tableStyleInfo name="LEADS-style" showColumnStripes="0" showFirstColumn="1" showLastColumn="1" showRowStripes="1"/>
</table>
</file>

<file path=xl/tables/table3.xml><?xml version="1.0" encoding="utf-8"?>
<table xmlns="http://schemas.openxmlformats.org/spreadsheetml/2006/main" ref="A1:E241" displayName="ActivitiesTable" name="ActivitiesTable" id="2">
  <tableColumns count="5">
    <tableColumn name="Activity_ID" id="1"/>
    <tableColumn name="Lead_ID" id="2"/>
    <tableColumn name="Activity_Date" id="3"/>
    <tableColumn name="Activity_Type" id="4"/>
    <tableColumn name="Owner" id="5"/>
  </tableColumns>
  <tableStyleInfo name="ACTIVITIES-style" showColumnStripes="0" showFirstColumn="1" showLastColumn="1" showRowStripes="1"/>
</table>
</file>

<file path=xl/tables/table4.xml><?xml version="1.0" encoding="utf-8"?>
<table xmlns="http://schemas.openxmlformats.org/spreadsheetml/2006/main" ref="A1:C33" displayName="TargetsTable" name="TargetsTable" id="4">
  <tableColumns count="3">
    <tableColumn name="Month" id="1"/>
    <tableColumn name="Owner" id="2"/>
    <tableColumn name="Target_Value_USD" id="3"/>
  </tableColumns>
  <tableStyleInfo name="TARGETS-style" showColumnStripes="0" showFirstColumn="1" showLastColumn="1" showRowStripes="1"/>
</table>
</file>

<file path=xl/tables/table5.xml><?xml version="1.0" encoding="utf-8"?>
<table xmlns="http://schemas.openxmlformats.org/spreadsheetml/2006/main" ref="A1:N161" displayName="MasterDataTable" name="MasterDataTable" id="5">
  <tableColumns count="14">
    <tableColumn name="Lead_ID" id="1"/>
    <tableColumn name="Client_ID" id="2"/>
    <tableColumn name="Client_Name" id="3"/>
    <tableColumn name="Country" id="4"/>
    <tableColumn name="Segment" id="5"/>
    <tableColumn name="Created_Date" id="6"/>
    <tableColumn name="Month" id="7"/>
    <tableColumn name="Lead_Source" id="8"/>
    <tableColumn name="Service_Interest" id="9"/>
    <tableColumn name="Owner" id="10"/>
    <tableColumn name="Lead_Status" id="11"/>
    <tableColumn name="Estimated_Value_USD" id="12"/>
    <tableColumn name="Activity_Count" id="13"/>
    <tableColumn name="Last_Activity_Date" id="14"/>
  </tableColumns>
  <tableStyleInfo name="MASTER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8.0"/>
    <col customWidth="1" min="3" max="26" width="8.63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  <row r="10">
      <c r="A10" s="2" t="s">
        <v>15</v>
      </c>
      <c r="B10" s="3" t="s">
        <v>16</v>
      </c>
    </row>
    <row r="11">
      <c r="A11" s="2" t="s">
        <v>17</v>
      </c>
      <c r="B11" s="3" t="s">
        <v>18</v>
      </c>
    </row>
    <row r="12">
      <c r="A12" s="2" t="s">
        <v>19</v>
      </c>
      <c r="B12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4.13"/>
    <col customWidth="1" min="3" max="3" width="11.0"/>
    <col customWidth="1" min="4" max="4" width="16.5"/>
    <col customWidth="1" min="5" max="5" width="13.5"/>
    <col customWidth="1" min="6" max="26" width="8.63"/>
  </cols>
  <sheetData>
    <row r="1">
      <c r="A1" s="4" t="s">
        <v>23</v>
      </c>
      <c r="B1" s="4" t="s">
        <v>24</v>
      </c>
      <c r="C1" s="4" t="s">
        <v>28</v>
      </c>
      <c r="D1" s="4" t="s">
        <v>32</v>
      </c>
      <c r="E1" s="4" t="s">
        <v>34</v>
      </c>
    </row>
    <row r="2">
      <c r="A2" s="5" t="s">
        <v>38</v>
      </c>
      <c r="B2" s="5" t="s">
        <v>41</v>
      </c>
      <c r="C2" s="5" t="s">
        <v>44</v>
      </c>
      <c r="D2" s="5" t="s">
        <v>48</v>
      </c>
      <c r="E2" s="6">
        <v>46030.0</v>
      </c>
    </row>
    <row r="3">
      <c r="A3" s="5" t="s">
        <v>53</v>
      </c>
      <c r="B3" s="5" t="s">
        <v>56</v>
      </c>
      <c r="C3" s="5" t="s">
        <v>58</v>
      </c>
      <c r="D3" s="5" t="s">
        <v>60</v>
      </c>
      <c r="E3" s="6">
        <v>46037.0</v>
      </c>
    </row>
    <row r="4">
      <c r="A4" s="5" t="s">
        <v>66</v>
      </c>
      <c r="B4" s="5" t="s">
        <v>69</v>
      </c>
      <c r="C4" s="5" t="s">
        <v>70</v>
      </c>
      <c r="D4" s="5" t="s">
        <v>73</v>
      </c>
      <c r="E4" s="6">
        <v>46044.0</v>
      </c>
    </row>
    <row r="5">
      <c r="A5" s="5" t="s">
        <v>78</v>
      </c>
      <c r="B5" s="5" t="s">
        <v>81</v>
      </c>
      <c r="C5" s="5" t="s">
        <v>82</v>
      </c>
      <c r="D5" s="5" t="s">
        <v>84</v>
      </c>
      <c r="E5" s="6">
        <v>46051.0</v>
      </c>
    </row>
    <row r="6">
      <c r="A6" s="5" t="s">
        <v>90</v>
      </c>
      <c r="B6" s="5" t="s">
        <v>92</v>
      </c>
      <c r="C6" s="5" t="s">
        <v>96</v>
      </c>
      <c r="D6" s="5" t="s">
        <v>48</v>
      </c>
      <c r="E6" s="6">
        <v>46058.0</v>
      </c>
    </row>
    <row r="7">
      <c r="A7" s="5" t="s">
        <v>103</v>
      </c>
      <c r="B7" s="5" t="s">
        <v>104</v>
      </c>
      <c r="C7" s="5" t="s">
        <v>44</v>
      </c>
      <c r="D7" s="5" t="s">
        <v>60</v>
      </c>
      <c r="E7" s="6">
        <v>46065.0</v>
      </c>
    </row>
    <row r="8">
      <c r="A8" s="5" t="s">
        <v>109</v>
      </c>
      <c r="B8" s="5" t="s">
        <v>111</v>
      </c>
      <c r="C8" s="5" t="s">
        <v>58</v>
      </c>
      <c r="D8" s="5" t="s">
        <v>73</v>
      </c>
      <c r="E8" s="6">
        <v>46072.0</v>
      </c>
    </row>
    <row r="9">
      <c r="A9" s="5" t="s">
        <v>43</v>
      </c>
      <c r="B9" s="5" t="s">
        <v>118</v>
      </c>
      <c r="C9" s="5" t="s">
        <v>70</v>
      </c>
      <c r="D9" s="5" t="s">
        <v>84</v>
      </c>
      <c r="E9" s="6">
        <v>46079.0</v>
      </c>
    </row>
    <row r="10">
      <c r="A10" s="5" t="s">
        <v>122</v>
      </c>
      <c r="B10" s="5" t="s">
        <v>124</v>
      </c>
      <c r="C10" s="5" t="s">
        <v>82</v>
      </c>
      <c r="D10" s="5" t="s">
        <v>48</v>
      </c>
      <c r="E10" s="6">
        <v>46086.0</v>
      </c>
    </row>
    <row r="11">
      <c r="A11" s="5" t="s">
        <v>127</v>
      </c>
      <c r="B11" s="5" t="s">
        <v>130</v>
      </c>
      <c r="C11" s="5" t="s">
        <v>96</v>
      </c>
      <c r="D11" s="5" t="s">
        <v>60</v>
      </c>
      <c r="E11" s="6">
        <v>46093.0</v>
      </c>
    </row>
    <row r="12">
      <c r="A12" s="5" t="s">
        <v>135</v>
      </c>
      <c r="B12" s="5" t="s">
        <v>137</v>
      </c>
      <c r="C12" s="5" t="s">
        <v>44</v>
      </c>
      <c r="D12" s="5" t="s">
        <v>73</v>
      </c>
      <c r="E12" s="6">
        <v>46100.0</v>
      </c>
    </row>
    <row r="13">
      <c r="A13" s="5" t="s">
        <v>141</v>
      </c>
      <c r="B13" s="5" t="s">
        <v>149</v>
      </c>
      <c r="C13" s="5" t="s">
        <v>58</v>
      </c>
      <c r="D13" s="5" t="s">
        <v>84</v>
      </c>
      <c r="E13" s="6">
        <v>46107.0</v>
      </c>
    </row>
    <row r="14">
      <c r="A14" s="5" t="s">
        <v>155</v>
      </c>
      <c r="B14" s="5" t="s">
        <v>157</v>
      </c>
      <c r="C14" s="5" t="s">
        <v>70</v>
      </c>
      <c r="D14" s="5" t="s">
        <v>48</v>
      </c>
      <c r="E14" s="6">
        <v>46114.0</v>
      </c>
    </row>
    <row r="15">
      <c r="A15" s="5" t="s">
        <v>162</v>
      </c>
      <c r="B15" s="5" t="s">
        <v>165</v>
      </c>
      <c r="C15" s="5" t="s">
        <v>82</v>
      </c>
      <c r="D15" s="5" t="s">
        <v>60</v>
      </c>
      <c r="E15" s="6">
        <v>46121.0</v>
      </c>
    </row>
    <row r="16">
      <c r="A16" s="5" t="s">
        <v>64</v>
      </c>
      <c r="B16" s="5" t="s">
        <v>166</v>
      </c>
      <c r="C16" s="5" t="s">
        <v>96</v>
      </c>
      <c r="D16" s="5" t="s">
        <v>73</v>
      </c>
      <c r="E16" s="6">
        <v>46128.0</v>
      </c>
    </row>
    <row r="17">
      <c r="A17" s="5" t="s">
        <v>169</v>
      </c>
      <c r="B17" s="5" t="s">
        <v>172</v>
      </c>
      <c r="C17" s="5" t="s">
        <v>44</v>
      </c>
      <c r="D17" s="5" t="s">
        <v>84</v>
      </c>
      <c r="E17" s="6">
        <v>46135.0</v>
      </c>
    </row>
    <row r="18">
      <c r="A18" s="5" t="s">
        <v>177</v>
      </c>
      <c r="B18" s="5" t="s">
        <v>178</v>
      </c>
      <c r="C18" s="5" t="s">
        <v>58</v>
      </c>
      <c r="D18" s="5" t="s">
        <v>48</v>
      </c>
      <c r="E18" s="6">
        <v>46142.0</v>
      </c>
    </row>
    <row r="19">
      <c r="A19" s="5" t="s">
        <v>184</v>
      </c>
      <c r="B19" s="5" t="s">
        <v>186</v>
      </c>
      <c r="C19" s="5" t="s">
        <v>70</v>
      </c>
      <c r="D19" s="5" t="s">
        <v>60</v>
      </c>
      <c r="E19" s="6">
        <v>46149.0</v>
      </c>
    </row>
    <row r="20">
      <c r="A20" s="5" t="s">
        <v>190</v>
      </c>
      <c r="B20" s="5" t="s">
        <v>191</v>
      </c>
      <c r="C20" s="5" t="s">
        <v>82</v>
      </c>
      <c r="D20" s="5" t="s">
        <v>73</v>
      </c>
      <c r="E20" s="6">
        <v>46156.0</v>
      </c>
    </row>
    <row r="21" ht="15.75" customHeight="1">
      <c r="A21" s="5" t="s">
        <v>194</v>
      </c>
      <c r="B21" s="5" t="s">
        <v>196</v>
      </c>
      <c r="C21" s="5" t="s">
        <v>96</v>
      </c>
      <c r="D21" s="5" t="s">
        <v>84</v>
      </c>
      <c r="E21" s="6">
        <v>46163.0</v>
      </c>
    </row>
    <row r="22" ht="15.75" customHeight="1">
      <c r="A22" s="5" t="s">
        <v>202</v>
      </c>
      <c r="B22" s="5" t="s">
        <v>204</v>
      </c>
      <c r="C22" s="5" t="s">
        <v>44</v>
      </c>
      <c r="D22" s="5" t="s">
        <v>48</v>
      </c>
      <c r="E22" s="6">
        <v>46170.0</v>
      </c>
    </row>
    <row r="23" ht="15.75" customHeight="1">
      <c r="A23" s="5" t="s">
        <v>77</v>
      </c>
      <c r="B23" s="5" t="s">
        <v>210</v>
      </c>
      <c r="C23" s="5" t="s">
        <v>58</v>
      </c>
      <c r="D23" s="5" t="s">
        <v>60</v>
      </c>
      <c r="E23" s="6">
        <v>46177.0</v>
      </c>
    </row>
    <row r="24" ht="15.75" customHeight="1">
      <c r="A24" s="5" t="s">
        <v>174</v>
      </c>
      <c r="B24" s="5" t="s">
        <v>214</v>
      </c>
      <c r="C24" s="5" t="s">
        <v>70</v>
      </c>
      <c r="D24" s="5" t="s">
        <v>73</v>
      </c>
      <c r="E24" s="6">
        <v>46184.0</v>
      </c>
    </row>
    <row r="25" ht="15.75" customHeight="1">
      <c r="A25" s="5" t="s">
        <v>217</v>
      </c>
      <c r="B25" s="5" t="s">
        <v>219</v>
      </c>
      <c r="C25" s="5" t="s">
        <v>82</v>
      </c>
      <c r="D25" s="5" t="s">
        <v>84</v>
      </c>
      <c r="E25" s="6">
        <v>46191.0</v>
      </c>
    </row>
    <row r="26" ht="15.75" customHeight="1">
      <c r="A26" s="5" t="s">
        <v>222</v>
      </c>
      <c r="B26" s="5" t="s">
        <v>223</v>
      </c>
      <c r="C26" s="5" t="s">
        <v>96</v>
      </c>
      <c r="D26" s="5" t="s">
        <v>48</v>
      </c>
      <c r="E26" s="6">
        <v>46198.0</v>
      </c>
    </row>
    <row r="27" ht="15.75" customHeight="1">
      <c r="A27" s="5" t="s">
        <v>226</v>
      </c>
      <c r="B27" s="5" t="s">
        <v>227</v>
      </c>
      <c r="C27" s="5" t="s">
        <v>44</v>
      </c>
      <c r="D27" s="5" t="s">
        <v>60</v>
      </c>
      <c r="E27" s="6">
        <v>46205.0</v>
      </c>
    </row>
    <row r="28" ht="15.75" customHeight="1">
      <c r="A28" s="5" t="s">
        <v>231</v>
      </c>
      <c r="B28" s="5" t="s">
        <v>232</v>
      </c>
      <c r="C28" s="5" t="s">
        <v>58</v>
      </c>
      <c r="D28" s="5" t="s">
        <v>73</v>
      </c>
      <c r="E28" s="6">
        <v>46212.0</v>
      </c>
    </row>
    <row r="29" ht="15.75" customHeight="1">
      <c r="A29" s="5" t="s">
        <v>235</v>
      </c>
      <c r="B29" s="5" t="s">
        <v>236</v>
      </c>
      <c r="C29" s="5" t="s">
        <v>70</v>
      </c>
      <c r="D29" s="5" t="s">
        <v>84</v>
      </c>
      <c r="E29" s="6">
        <v>46219.0</v>
      </c>
    </row>
    <row r="30" ht="15.75" customHeight="1">
      <c r="A30" s="5" t="s">
        <v>88</v>
      </c>
      <c r="B30" s="5" t="s">
        <v>241</v>
      </c>
      <c r="C30" s="5" t="s">
        <v>82</v>
      </c>
      <c r="D30" s="5" t="s">
        <v>48</v>
      </c>
      <c r="E30" s="6">
        <v>46226.0</v>
      </c>
    </row>
    <row r="31" ht="15.75" customHeight="1">
      <c r="A31" s="5" t="s">
        <v>182</v>
      </c>
      <c r="B31" s="5" t="s">
        <v>245</v>
      </c>
      <c r="C31" s="5" t="s">
        <v>96</v>
      </c>
      <c r="D31" s="5" t="s">
        <v>60</v>
      </c>
      <c r="E31" s="6">
        <v>46233.0</v>
      </c>
    </row>
    <row r="32" ht="15.75" customHeight="1">
      <c r="A32" s="5" t="s">
        <v>248</v>
      </c>
      <c r="B32" s="5" t="s">
        <v>249</v>
      </c>
      <c r="C32" s="5" t="s">
        <v>44</v>
      </c>
      <c r="D32" s="5" t="s">
        <v>73</v>
      </c>
      <c r="E32" s="6">
        <v>46240.0</v>
      </c>
    </row>
    <row r="33" ht="15.75" customHeight="1">
      <c r="A33" s="5" t="s">
        <v>252</v>
      </c>
      <c r="B33" s="5" t="s">
        <v>253</v>
      </c>
      <c r="C33" s="5" t="s">
        <v>58</v>
      </c>
      <c r="D33" s="5" t="s">
        <v>84</v>
      </c>
      <c r="E33" s="6">
        <v>46027.0</v>
      </c>
    </row>
    <row r="34" ht="15.75" customHeight="1">
      <c r="A34" s="5" t="s">
        <v>256</v>
      </c>
      <c r="B34" s="5" t="s">
        <v>257</v>
      </c>
      <c r="C34" s="5" t="s">
        <v>70</v>
      </c>
      <c r="D34" s="5" t="s">
        <v>48</v>
      </c>
      <c r="E34" s="6">
        <v>46034.0</v>
      </c>
    </row>
    <row r="35" ht="15.75" customHeight="1">
      <c r="A35" s="5" t="s">
        <v>261</v>
      </c>
      <c r="B35" s="5" t="s">
        <v>262</v>
      </c>
      <c r="C35" s="5" t="s">
        <v>82</v>
      </c>
      <c r="D35" s="5" t="s">
        <v>60</v>
      </c>
      <c r="E35" s="6">
        <v>46041.0</v>
      </c>
    </row>
    <row r="36" ht="15.75" customHeight="1">
      <c r="A36" s="5" t="s">
        <v>266</v>
      </c>
      <c r="B36" s="5" t="s">
        <v>267</v>
      </c>
      <c r="C36" s="5" t="s">
        <v>96</v>
      </c>
      <c r="D36" s="5" t="s">
        <v>73</v>
      </c>
      <c r="E36" s="6">
        <v>46048.0</v>
      </c>
    </row>
    <row r="37" ht="15.75" customHeight="1">
      <c r="A37" s="5" t="s">
        <v>98</v>
      </c>
      <c r="B37" s="5" t="s">
        <v>272</v>
      </c>
      <c r="C37" s="5" t="s">
        <v>44</v>
      </c>
      <c r="D37" s="5" t="s">
        <v>84</v>
      </c>
      <c r="E37" s="6">
        <v>46055.0</v>
      </c>
    </row>
    <row r="38" ht="15.75" customHeight="1">
      <c r="A38" s="5" t="s">
        <v>276</v>
      </c>
      <c r="B38" s="5" t="s">
        <v>277</v>
      </c>
      <c r="C38" s="5" t="s">
        <v>58</v>
      </c>
      <c r="D38" s="5" t="s">
        <v>48</v>
      </c>
      <c r="E38" s="6">
        <v>46062.0</v>
      </c>
    </row>
    <row r="39" ht="15.75" customHeight="1">
      <c r="A39" s="5" t="s">
        <v>269</v>
      </c>
      <c r="B39" s="5" t="s">
        <v>281</v>
      </c>
      <c r="C39" s="5" t="s">
        <v>70</v>
      </c>
      <c r="D39" s="5" t="s">
        <v>60</v>
      </c>
      <c r="E39" s="6">
        <v>46069.0</v>
      </c>
    </row>
    <row r="40" ht="15.75" customHeight="1">
      <c r="A40" s="5" t="s">
        <v>282</v>
      </c>
      <c r="B40" s="5" t="s">
        <v>284</v>
      </c>
      <c r="C40" s="5" t="s">
        <v>82</v>
      </c>
      <c r="D40" s="5" t="s">
        <v>73</v>
      </c>
      <c r="E40" s="6">
        <v>46076.0</v>
      </c>
    </row>
    <row r="41" ht="15.75" customHeight="1">
      <c r="A41" s="5" t="s">
        <v>287</v>
      </c>
      <c r="B41" s="5" t="s">
        <v>288</v>
      </c>
      <c r="C41" s="5" t="s">
        <v>96</v>
      </c>
      <c r="D41" s="5" t="s">
        <v>84</v>
      </c>
      <c r="E41" s="6">
        <v>46083.0</v>
      </c>
    </row>
    <row r="42" ht="15.75" customHeight="1">
      <c r="A42" s="5" t="s">
        <v>293</v>
      </c>
      <c r="B42" s="5" t="s">
        <v>294</v>
      </c>
      <c r="C42" s="5" t="s">
        <v>44</v>
      </c>
      <c r="D42" s="5" t="s">
        <v>48</v>
      </c>
      <c r="E42" s="6">
        <v>46090.0</v>
      </c>
    </row>
    <row r="43" ht="15.75" customHeight="1">
      <c r="A43" s="5" t="s">
        <v>297</v>
      </c>
      <c r="B43" s="5" t="s">
        <v>298</v>
      </c>
      <c r="C43" s="5" t="s">
        <v>58</v>
      </c>
      <c r="D43" s="5" t="s">
        <v>60</v>
      </c>
      <c r="E43" s="6">
        <v>46097.0</v>
      </c>
    </row>
    <row r="44" ht="15.75" customHeight="1">
      <c r="A44" s="5" t="s">
        <v>301</v>
      </c>
      <c r="B44" s="5" t="s">
        <v>302</v>
      </c>
      <c r="C44" s="5" t="s">
        <v>70</v>
      </c>
      <c r="D44" s="5" t="s">
        <v>73</v>
      </c>
      <c r="E44" s="6">
        <v>46104.0</v>
      </c>
    </row>
    <row r="45" ht="15.75" customHeight="1">
      <c r="A45" s="5" t="s">
        <v>195</v>
      </c>
      <c r="B45" s="5" t="s">
        <v>305</v>
      </c>
      <c r="C45" s="5" t="s">
        <v>82</v>
      </c>
      <c r="D45" s="5" t="s">
        <v>84</v>
      </c>
      <c r="E45" s="6">
        <v>46111.0</v>
      </c>
    </row>
    <row r="46" ht="15.75" customHeight="1">
      <c r="A46" s="5" t="s">
        <v>274</v>
      </c>
      <c r="B46" s="5" t="s">
        <v>309</v>
      </c>
      <c r="C46" s="5" t="s">
        <v>96</v>
      </c>
      <c r="D46" s="5" t="s">
        <v>48</v>
      </c>
      <c r="E46" s="6">
        <v>46118.0</v>
      </c>
    </row>
    <row r="47" ht="15.75" customHeight="1">
      <c r="A47" s="5" t="s">
        <v>312</v>
      </c>
      <c r="B47" s="5" t="s">
        <v>314</v>
      </c>
      <c r="C47" s="5" t="s">
        <v>44</v>
      </c>
      <c r="D47" s="5" t="s">
        <v>60</v>
      </c>
      <c r="E47" s="6">
        <v>46125.0</v>
      </c>
    </row>
    <row r="48" ht="15.75" customHeight="1">
      <c r="A48" s="5" t="s">
        <v>317</v>
      </c>
      <c r="B48" s="5" t="s">
        <v>318</v>
      </c>
      <c r="C48" s="5" t="s">
        <v>58</v>
      </c>
      <c r="D48" s="5" t="s">
        <v>73</v>
      </c>
      <c r="E48" s="6">
        <v>46132.0</v>
      </c>
    </row>
    <row r="49" ht="15.75" customHeight="1">
      <c r="A49" s="5" t="s">
        <v>321</v>
      </c>
      <c r="B49" s="5" t="s">
        <v>322</v>
      </c>
      <c r="C49" s="5" t="s">
        <v>70</v>
      </c>
      <c r="D49" s="5" t="s">
        <v>84</v>
      </c>
      <c r="E49" s="6">
        <v>46139.0</v>
      </c>
    </row>
    <row r="50" ht="15.75" customHeight="1">
      <c r="A50" s="5" t="s">
        <v>325</v>
      </c>
      <c r="B50" s="5" t="s">
        <v>326</v>
      </c>
      <c r="C50" s="5" t="s">
        <v>82</v>
      </c>
      <c r="D50" s="5" t="s">
        <v>48</v>
      </c>
      <c r="E50" s="6">
        <v>46146.0</v>
      </c>
    </row>
    <row r="51" ht="15.75" customHeight="1">
      <c r="A51" s="5" t="s">
        <v>115</v>
      </c>
      <c r="B51" s="5" t="s">
        <v>329</v>
      </c>
      <c r="C51" s="5" t="s">
        <v>96</v>
      </c>
      <c r="D51" s="5" t="s">
        <v>60</v>
      </c>
      <c r="E51" s="6">
        <v>46153.0</v>
      </c>
    </row>
    <row r="52" ht="15.75" customHeight="1">
      <c r="A52" s="5" t="s">
        <v>203</v>
      </c>
      <c r="B52" s="5" t="s">
        <v>332</v>
      </c>
      <c r="C52" s="5" t="s">
        <v>44</v>
      </c>
      <c r="D52" s="5" t="s">
        <v>73</v>
      </c>
      <c r="E52" s="6">
        <v>46160.0</v>
      </c>
    </row>
    <row r="53" ht="15.75" customHeight="1">
      <c r="A53" s="5" t="s">
        <v>280</v>
      </c>
      <c r="B53" s="5" t="s">
        <v>335</v>
      </c>
      <c r="C53" s="5" t="s">
        <v>58</v>
      </c>
      <c r="D53" s="5" t="s">
        <v>84</v>
      </c>
      <c r="E53" s="6">
        <v>46167.0</v>
      </c>
    </row>
    <row r="54" ht="15.75" customHeight="1">
      <c r="A54" s="5" t="s">
        <v>337</v>
      </c>
      <c r="B54" s="5" t="s">
        <v>339</v>
      </c>
      <c r="C54" s="5" t="s">
        <v>70</v>
      </c>
      <c r="D54" s="5" t="s">
        <v>48</v>
      </c>
      <c r="E54" s="6">
        <v>46174.0</v>
      </c>
    </row>
    <row r="55" ht="15.75" customHeight="1">
      <c r="A55" s="5" t="s">
        <v>341</v>
      </c>
      <c r="B55" s="5" t="s">
        <v>342</v>
      </c>
      <c r="C55" s="5" t="s">
        <v>82</v>
      </c>
      <c r="D55" s="5" t="s">
        <v>60</v>
      </c>
      <c r="E55" s="6">
        <v>46181.0</v>
      </c>
    </row>
    <row r="56" ht="15.75" customHeight="1">
      <c r="A56" s="5" t="s">
        <v>345</v>
      </c>
      <c r="B56" s="5" t="s">
        <v>346</v>
      </c>
      <c r="C56" s="5" t="s">
        <v>96</v>
      </c>
      <c r="D56" s="5" t="s">
        <v>73</v>
      </c>
      <c r="E56" s="6">
        <v>46188.0</v>
      </c>
    </row>
    <row r="57" ht="15.75" customHeight="1">
      <c r="A57" s="5" t="s">
        <v>347</v>
      </c>
      <c r="B57" s="5" t="s">
        <v>348</v>
      </c>
      <c r="C57" s="5" t="s">
        <v>44</v>
      </c>
      <c r="D57" s="5" t="s">
        <v>84</v>
      </c>
      <c r="E57" s="6">
        <v>46195.0</v>
      </c>
    </row>
    <row r="58" ht="15.75" customHeight="1">
      <c r="A58" s="5" t="s">
        <v>123</v>
      </c>
      <c r="B58" s="5" t="s">
        <v>352</v>
      </c>
      <c r="C58" s="5" t="s">
        <v>58</v>
      </c>
      <c r="D58" s="5" t="s">
        <v>48</v>
      </c>
      <c r="E58" s="6">
        <v>46202.0</v>
      </c>
    </row>
    <row r="59" ht="15.75" customHeight="1">
      <c r="A59" s="5" t="s">
        <v>212</v>
      </c>
      <c r="B59" s="5" t="s">
        <v>355</v>
      </c>
      <c r="C59" s="5" t="s">
        <v>70</v>
      </c>
      <c r="D59" s="5" t="s">
        <v>60</v>
      </c>
      <c r="E59" s="6">
        <v>46209.0</v>
      </c>
    </row>
    <row r="60" ht="15.75" customHeight="1">
      <c r="A60" s="5" t="s">
        <v>286</v>
      </c>
      <c r="B60" s="5" t="s">
        <v>357</v>
      </c>
      <c r="C60" s="5" t="s">
        <v>82</v>
      </c>
      <c r="D60" s="5" t="s">
        <v>73</v>
      </c>
      <c r="E60" s="6">
        <v>46216.0</v>
      </c>
    </row>
    <row r="61" ht="15.75" customHeight="1">
      <c r="A61" s="5" t="s">
        <v>359</v>
      </c>
      <c r="B61" s="5" t="s">
        <v>360</v>
      </c>
      <c r="C61" s="5" t="s">
        <v>96</v>
      </c>
      <c r="D61" s="5" t="s">
        <v>84</v>
      </c>
      <c r="E61" s="6">
        <v>46223.0</v>
      </c>
    </row>
    <row r="62" ht="15.75" customHeight="1">
      <c r="A62" s="5" t="s">
        <v>363</v>
      </c>
      <c r="B62" s="5" t="s">
        <v>365</v>
      </c>
      <c r="C62" s="5" t="s">
        <v>44</v>
      </c>
      <c r="D62" s="5" t="s">
        <v>48</v>
      </c>
      <c r="E62" s="6">
        <v>46230.0</v>
      </c>
    </row>
    <row r="63" ht="15.75" customHeight="1">
      <c r="A63" s="5" t="s">
        <v>368</v>
      </c>
      <c r="B63" s="5" t="s">
        <v>369</v>
      </c>
      <c r="C63" s="5" t="s">
        <v>58</v>
      </c>
      <c r="D63" s="5" t="s">
        <v>60</v>
      </c>
      <c r="E63" s="6">
        <v>46237.0</v>
      </c>
    </row>
    <row r="64" ht="15.75" customHeight="1">
      <c r="A64" s="5" t="s">
        <v>373</v>
      </c>
      <c r="B64" s="5" t="s">
        <v>374</v>
      </c>
      <c r="C64" s="5" t="s">
        <v>70</v>
      </c>
      <c r="D64" s="5" t="s">
        <v>73</v>
      </c>
      <c r="E64" s="6">
        <v>46024.0</v>
      </c>
    </row>
    <row r="65" ht="15.75" customHeight="1">
      <c r="A65" s="5" t="s">
        <v>132</v>
      </c>
      <c r="B65" s="5" t="s">
        <v>378</v>
      </c>
      <c r="C65" s="5" t="s">
        <v>82</v>
      </c>
      <c r="D65" s="5" t="s">
        <v>84</v>
      </c>
      <c r="E65" s="6">
        <v>46031.0</v>
      </c>
    </row>
    <row r="66" ht="15.75" customHeight="1">
      <c r="A66" s="5" t="s">
        <v>220</v>
      </c>
      <c r="B66" s="5" t="s">
        <v>381</v>
      </c>
      <c r="C66" s="5" t="s">
        <v>96</v>
      </c>
      <c r="D66" s="5" t="s">
        <v>48</v>
      </c>
      <c r="E66" s="6">
        <v>46038.0</v>
      </c>
    </row>
    <row r="67" ht="15.75" customHeight="1">
      <c r="A67" s="5" t="s">
        <v>292</v>
      </c>
      <c r="B67" s="5" t="s">
        <v>385</v>
      </c>
      <c r="C67" s="5" t="s">
        <v>44</v>
      </c>
      <c r="D67" s="5" t="s">
        <v>60</v>
      </c>
      <c r="E67" s="6">
        <v>46045.0</v>
      </c>
    </row>
    <row r="68" ht="15.75" customHeight="1">
      <c r="A68" s="5" t="s">
        <v>386</v>
      </c>
      <c r="B68" s="5" t="s">
        <v>387</v>
      </c>
      <c r="C68" s="5" t="s">
        <v>58</v>
      </c>
      <c r="D68" s="5" t="s">
        <v>73</v>
      </c>
      <c r="E68" s="6">
        <v>46052.0</v>
      </c>
    </row>
    <row r="69" ht="15.75" customHeight="1">
      <c r="A69" s="5" t="s">
        <v>389</v>
      </c>
      <c r="B69" s="5" t="s">
        <v>392</v>
      </c>
      <c r="C69" s="5" t="s">
        <v>70</v>
      </c>
      <c r="D69" s="5" t="s">
        <v>84</v>
      </c>
      <c r="E69" s="6">
        <v>46059.0</v>
      </c>
    </row>
    <row r="70" ht="15.75" customHeight="1">
      <c r="A70" s="5" t="s">
        <v>394</v>
      </c>
      <c r="B70" s="5" t="s">
        <v>396</v>
      </c>
      <c r="C70" s="5" t="s">
        <v>82</v>
      </c>
      <c r="D70" s="5" t="s">
        <v>48</v>
      </c>
      <c r="E70" s="6">
        <v>46066.0</v>
      </c>
    </row>
    <row r="71" ht="15.75" customHeight="1">
      <c r="A71" s="5" t="s">
        <v>398</v>
      </c>
      <c r="B71" s="5" t="s">
        <v>399</v>
      </c>
      <c r="C71" s="5" t="s">
        <v>96</v>
      </c>
      <c r="D71" s="5" t="s">
        <v>60</v>
      </c>
      <c r="E71" s="6">
        <v>46073.0</v>
      </c>
    </row>
    <row r="72" ht="15.75" customHeight="1">
      <c r="A72" s="5" t="s">
        <v>142</v>
      </c>
      <c r="B72" s="5" t="s">
        <v>401</v>
      </c>
      <c r="C72" s="5" t="s">
        <v>44</v>
      </c>
      <c r="D72" s="5" t="s">
        <v>73</v>
      </c>
      <c r="E72" s="6">
        <v>46080.0</v>
      </c>
    </row>
    <row r="73" ht="15.75" customHeight="1">
      <c r="A73" s="5" t="s">
        <v>225</v>
      </c>
      <c r="B73" s="5" t="s">
        <v>404</v>
      </c>
      <c r="C73" s="5" t="s">
        <v>58</v>
      </c>
      <c r="D73" s="5" t="s">
        <v>84</v>
      </c>
      <c r="E73" s="6">
        <v>46087.0</v>
      </c>
    </row>
    <row r="74" ht="15.75" customHeight="1">
      <c r="A74" s="5" t="s">
        <v>407</v>
      </c>
      <c r="B74" s="5" t="s">
        <v>408</v>
      </c>
      <c r="C74" s="5" t="s">
        <v>70</v>
      </c>
      <c r="D74" s="5" t="s">
        <v>48</v>
      </c>
      <c r="E74" s="6">
        <v>46094.0</v>
      </c>
    </row>
    <row r="75" ht="15.75" customHeight="1">
      <c r="A75" s="5" t="s">
        <v>377</v>
      </c>
      <c r="B75" s="5" t="s">
        <v>414</v>
      </c>
      <c r="C75" s="5" t="s">
        <v>82</v>
      </c>
      <c r="D75" s="5" t="s">
        <v>60</v>
      </c>
      <c r="E75" s="6">
        <v>46101.0</v>
      </c>
    </row>
    <row r="76" ht="15.75" customHeight="1">
      <c r="A76" s="5" t="s">
        <v>416</v>
      </c>
      <c r="B76" s="5" t="s">
        <v>418</v>
      </c>
      <c r="C76" s="5" t="s">
        <v>96</v>
      </c>
      <c r="D76" s="5" t="s">
        <v>73</v>
      </c>
      <c r="E76" s="6">
        <v>46108.0</v>
      </c>
    </row>
    <row r="77" ht="15.75" customHeight="1">
      <c r="A77" s="5" t="s">
        <v>420</v>
      </c>
      <c r="B77" s="5" t="s">
        <v>422</v>
      </c>
      <c r="C77" s="5" t="s">
        <v>44</v>
      </c>
      <c r="D77" s="5" t="s">
        <v>84</v>
      </c>
      <c r="E77" s="6">
        <v>46115.0</v>
      </c>
    </row>
    <row r="78" ht="15.75" customHeight="1">
      <c r="A78" s="5" t="s">
        <v>424</v>
      </c>
      <c r="B78" s="5" t="s">
        <v>426</v>
      </c>
      <c r="C78" s="5" t="s">
        <v>58</v>
      </c>
      <c r="D78" s="5" t="s">
        <v>48</v>
      </c>
      <c r="E78" s="6">
        <v>46122.0</v>
      </c>
    </row>
    <row r="79" ht="15.75" customHeight="1">
      <c r="A79" s="5" t="s">
        <v>148</v>
      </c>
      <c r="B79" s="5" t="s">
        <v>428</v>
      </c>
      <c r="C79" s="5" t="s">
        <v>70</v>
      </c>
      <c r="D79" s="5" t="s">
        <v>60</v>
      </c>
      <c r="E79" s="6">
        <v>46129.0</v>
      </c>
    </row>
    <row r="80" ht="15.75" customHeight="1">
      <c r="A80" s="5" t="s">
        <v>431</v>
      </c>
      <c r="B80" s="5" t="s">
        <v>433</v>
      </c>
      <c r="C80" s="5" t="s">
        <v>82</v>
      </c>
      <c r="D80" s="5" t="s">
        <v>73</v>
      </c>
      <c r="E80" s="6">
        <v>46136.0</v>
      </c>
    </row>
    <row r="81" ht="15.75" customHeight="1">
      <c r="A81" s="5" t="s">
        <v>306</v>
      </c>
      <c r="B81" s="5" t="s">
        <v>436</v>
      </c>
      <c r="C81" s="5" t="s">
        <v>96</v>
      </c>
      <c r="D81" s="5" t="s">
        <v>84</v>
      </c>
      <c r="E81" s="6">
        <v>46143.0</v>
      </c>
    </row>
    <row r="82" ht="15.75" customHeight="1">
      <c r="A82" s="5" t="s">
        <v>384</v>
      </c>
      <c r="B82" s="5" t="s">
        <v>439</v>
      </c>
      <c r="C82" s="5" t="s">
        <v>44</v>
      </c>
      <c r="D82" s="5" t="s">
        <v>48</v>
      </c>
      <c r="E82" s="6">
        <v>46150.0</v>
      </c>
    </row>
    <row r="83" ht="15.75" customHeight="1">
      <c r="A83" s="5" t="s">
        <v>441</v>
      </c>
      <c r="B83" s="5" t="s">
        <v>442</v>
      </c>
      <c r="C83" s="5" t="s">
        <v>58</v>
      </c>
      <c r="D83" s="5" t="s">
        <v>60</v>
      </c>
      <c r="E83" s="6">
        <v>46157.0</v>
      </c>
    </row>
    <row r="84" ht="15.75" customHeight="1">
      <c r="A84" s="5" t="s">
        <v>444</v>
      </c>
      <c r="B84" s="5" t="s">
        <v>445</v>
      </c>
      <c r="C84" s="5" t="s">
        <v>70</v>
      </c>
      <c r="D84" s="5" t="s">
        <v>73</v>
      </c>
      <c r="E84" s="6">
        <v>46164.0</v>
      </c>
    </row>
    <row r="85" ht="15.75" customHeight="1">
      <c r="A85" s="5" t="s">
        <v>446</v>
      </c>
      <c r="B85" s="5" t="s">
        <v>448</v>
      </c>
      <c r="C85" s="5" t="s">
        <v>82</v>
      </c>
      <c r="D85" s="5" t="s">
        <v>84</v>
      </c>
      <c r="E85" s="6">
        <v>46171.0</v>
      </c>
    </row>
    <row r="86" ht="15.75" customHeight="1">
      <c r="A86" s="5" t="s">
        <v>451</v>
      </c>
      <c r="B86" s="5" t="s">
        <v>452</v>
      </c>
      <c r="C86" s="5" t="s">
        <v>96</v>
      </c>
      <c r="D86" s="5" t="s">
        <v>48</v>
      </c>
      <c r="E86" s="6">
        <v>46178.0</v>
      </c>
    </row>
    <row r="87" ht="15.75" customHeight="1">
      <c r="A87" s="5" t="s">
        <v>238</v>
      </c>
      <c r="B87" s="5" t="s">
        <v>455</v>
      </c>
      <c r="C87" s="5" t="s">
        <v>44</v>
      </c>
      <c r="D87" s="5" t="s">
        <v>60</v>
      </c>
      <c r="E87" s="6">
        <v>46185.0</v>
      </c>
    </row>
    <row r="88" ht="15.75" customHeight="1">
      <c r="A88" s="5" t="s">
        <v>311</v>
      </c>
      <c r="B88" s="5" t="s">
        <v>458</v>
      </c>
      <c r="C88" s="5" t="s">
        <v>58</v>
      </c>
      <c r="D88" s="5" t="s">
        <v>73</v>
      </c>
      <c r="E88" s="6">
        <v>46192.0</v>
      </c>
    </row>
    <row r="89" ht="15.75" customHeight="1">
      <c r="A89" s="5" t="s">
        <v>391</v>
      </c>
      <c r="B89" s="5" t="s">
        <v>461</v>
      </c>
      <c r="C89" s="5" t="s">
        <v>70</v>
      </c>
      <c r="D89" s="5" t="s">
        <v>84</v>
      </c>
      <c r="E89" s="6">
        <v>46199.0</v>
      </c>
    </row>
    <row r="90" ht="15.75" customHeight="1">
      <c r="A90" s="5" t="s">
        <v>450</v>
      </c>
      <c r="B90" s="5" t="s">
        <v>464</v>
      </c>
      <c r="C90" s="5" t="s">
        <v>82</v>
      </c>
      <c r="D90" s="5" t="s">
        <v>48</v>
      </c>
      <c r="E90" s="6">
        <v>46206.0</v>
      </c>
    </row>
    <row r="91" ht="15.75" customHeight="1">
      <c r="A91" s="5" t="s">
        <v>466</v>
      </c>
      <c r="B91" s="5" t="s">
        <v>468</v>
      </c>
      <c r="C91" s="5" t="s">
        <v>96</v>
      </c>
      <c r="D91" s="5" t="s">
        <v>60</v>
      </c>
      <c r="E91" s="6">
        <v>46213.0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.25"/>
    <col customWidth="1" min="3" max="3" width="14.63"/>
    <col customWidth="1" min="4" max="4" width="13.88"/>
    <col customWidth="1" min="5" max="5" width="17.5"/>
    <col customWidth="1" min="6" max="6" width="9.38"/>
    <col customWidth="1" min="7" max="7" width="13.5"/>
    <col customWidth="1" min="8" max="8" width="17.38"/>
    <col customWidth="1" min="9" max="26" width="8.63"/>
  </cols>
  <sheetData>
    <row r="1">
      <c r="A1" s="4" t="s">
        <v>21</v>
      </c>
      <c r="B1" s="4" t="s">
        <v>23</v>
      </c>
      <c r="C1" s="4" t="s">
        <v>26</v>
      </c>
      <c r="D1" s="4" t="s">
        <v>30</v>
      </c>
      <c r="E1" s="4" t="s">
        <v>31</v>
      </c>
      <c r="F1" s="4" t="s">
        <v>29</v>
      </c>
      <c r="G1" s="4" t="s">
        <v>35</v>
      </c>
      <c r="H1" s="4" t="s">
        <v>37</v>
      </c>
    </row>
    <row r="2">
      <c r="A2" s="5" t="s">
        <v>39</v>
      </c>
      <c r="B2" s="5" t="s">
        <v>43</v>
      </c>
      <c r="C2" s="6">
        <v>46032.0</v>
      </c>
      <c r="D2" s="5" t="s">
        <v>46</v>
      </c>
      <c r="E2" s="5" t="s">
        <v>51</v>
      </c>
      <c r="F2" s="5" t="s">
        <v>42</v>
      </c>
      <c r="G2" s="5" t="s">
        <v>55</v>
      </c>
      <c r="H2" s="7">
        <v>787.0</v>
      </c>
    </row>
    <row r="3">
      <c r="A3" s="5" t="s">
        <v>62</v>
      </c>
      <c r="B3" s="5" t="s">
        <v>64</v>
      </c>
      <c r="C3" s="6">
        <v>46041.0</v>
      </c>
      <c r="D3" s="5" t="s">
        <v>65</v>
      </c>
      <c r="E3" s="5" t="s">
        <v>68</v>
      </c>
      <c r="F3" s="5" t="s">
        <v>50</v>
      </c>
      <c r="G3" s="5" t="s">
        <v>72</v>
      </c>
      <c r="H3" s="7">
        <v>924.0</v>
      </c>
    </row>
    <row r="4">
      <c r="A4" s="5" t="s">
        <v>75</v>
      </c>
      <c r="B4" s="5" t="s">
        <v>77</v>
      </c>
      <c r="C4" s="6">
        <v>46050.0</v>
      </c>
      <c r="D4" s="5" t="s">
        <v>79</v>
      </c>
      <c r="E4" s="5" t="s">
        <v>80</v>
      </c>
      <c r="F4" s="5" t="s">
        <v>59</v>
      </c>
      <c r="G4" s="5" t="s">
        <v>83</v>
      </c>
      <c r="H4" s="7">
        <v>1061.0</v>
      </c>
    </row>
    <row r="5">
      <c r="A5" s="5" t="s">
        <v>86</v>
      </c>
      <c r="B5" s="5" t="s">
        <v>88</v>
      </c>
      <c r="C5" s="6">
        <v>46059.0</v>
      </c>
      <c r="D5" s="5" t="s">
        <v>89</v>
      </c>
      <c r="E5" s="5" t="s">
        <v>91</v>
      </c>
      <c r="F5" s="5" t="s">
        <v>71</v>
      </c>
      <c r="G5" s="5" t="s">
        <v>94</v>
      </c>
      <c r="H5" s="7">
        <v>0.0</v>
      </c>
    </row>
    <row r="6">
      <c r="A6" s="5" t="s">
        <v>97</v>
      </c>
      <c r="B6" s="5" t="s">
        <v>98</v>
      </c>
      <c r="C6" s="6">
        <v>46068.0</v>
      </c>
      <c r="D6" s="5" t="s">
        <v>100</v>
      </c>
      <c r="E6" s="5" t="s">
        <v>102</v>
      </c>
      <c r="F6" s="5" t="s">
        <v>42</v>
      </c>
      <c r="G6" s="5" t="s">
        <v>105</v>
      </c>
      <c r="H6" s="7">
        <v>1335.0</v>
      </c>
    </row>
    <row r="7">
      <c r="A7" s="5" t="s">
        <v>107</v>
      </c>
      <c r="B7" s="5"/>
      <c r="C7" s="6">
        <v>46077.0</v>
      </c>
      <c r="D7" s="5" t="s">
        <v>110</v>
      </c>
      <c r="E7" s="5" t="s">
        <v>51</v>
      </c>
      <c r="F7" s="5" t="s">
        <v>50</v>
      </c>
      <c r="G7" s="5" t="s">
        <v>55</v>
      </c>
      <c r="H7" s="7">
        <v>1472.0</v>
      </c>
    </row>
    <row r="8">
      <c r="A8" s="5" t="s">
        <v>114</v>
      </c>
      <c r="B8" s="5" t="s">
        <v>115</v>
      </c>
      <c r="C8" s="6">
        <v>46086.0</v>
      </c>
      <c r="D8" s="5" t="s">
        <v>46</v>
      </c>
      <c r="E8" s="5" t="s">
        <v>68</v>
      </c>
      <c r="F8" s="5" t="s">
        <v>59</v>
      </c>
      <c r="G8" s="5" t="s">
        <v>72</v>
      </c>
      <c r="H8" s="7">
        <v>1609.0</v>
      </c>
    </row>
    <row r="9">
      <c r="A9" s="5" t="s">
        <v>121</v>
      </c>
      <c r="B9" s="5" t="s">
        <v>123</v>
      </c>
      <c r="C9" s="6">
        <v>46095.0</v>
      </c>
      <c r="D9" s="5" t="s">
        <v>65</v>
      </c>
      <c r="E9" s="5" t="s">
        <v>80</v>
      </c>
      <c r="F9" s="5" t="s">
        <v>71</v>
      </c>
      <c r="G9" s="5" t="s">
        <v>83</v>
      </c>
      <c r="H9" s="7">
        <v>1746.0</v>
      </c>
    </row>
    <row r="10">
      <c r="A10" s="5" t="s">
        <v>131</v>
      </c>
      <c r="B10" s="5" t="s">
        <v>132</v>
      </c>
      <c r="C10" s="6">
        <v>46104.0</v>
      </c>
      <c r="D10" s="5" t="s">
        <v>79</v>
      </c>
      <c r="E10" s="5" t="s">
        <v>91</v>
      </c>
      <c r="F10" s="5" t="s">
        <v>42</v>
      </c>
      <c r="G10" s="5" t="s">
        <v>94</v>
      </c>
      <c r="H10" s="7">
        <v>0.0</v>
      </c>
    </row>
    <row r="11">
      <c r="A11" s="5" t="s">
        <v>126</v>
      </c>
      <c r="B11" s="5" t="s">
        <v>142</v>
      </c>
      <c r="C11" s="6">
        <v>46113.0</v>
      </c>
      <c r="D11" s="5" t="s">
        <v>89</v>
      </c>
      <c r="E11" s="5" t="s">
        <v>102</v>
      </c>
      <c r="F11" s="5" t="s">
        <v>50</v>
      </c>
      <c r="G11" s="5" t="s">
        <v>105</v>
      </c>
      <c r="H11" s="7">
        <v>2020.0</v>
      </c>
    </row>
    <row r="12">
      <c r="A12" s="5" t="s">
        <v>145</v>
      </c>
      <c r="B12" s="5" t="s">
        <v>148</v>
      </c>
      <c r="C12" s="6">
        <v>46122.0</v>
      </c>
      <c r="D12" s="5" t="s">
        <v>100</v>
      </c>
      <c r="E12" s="5" t="s">
        <v>51</v>
      </c>
      <c r="F12" s="5" t="s">
        <v>59</v>
      </c>
      <c r="G12" s="5" t="s">
        <v>55</v>
      </c>
      <c r="H12" s="7">
        <v>2157.0</v>
      </c>
    </row>
    <row r="13">
      <c r="A13" s="5" t="s">
        <v>152</v>
      </c>
      <c r="B13" s="5"/>
      <c r="C13" s="6">
        <v>46131.0</v>
      </c>
      <c r="D13" s="5" t="s">
        <v>110</v>
      </c>
      <c r="E13" s="5" t="s">
        <v>68</v>
      </c>
      <c r="F13" s="5" t="s">
        <v>71</v>
      </c>
      <c r="G13" s="5" t="s">
        <v>72</v>
      </c>
      <c r="H13" s="7">
        <v>2294.0</v>
      </c>
    </row>
    <row r="14">
      <c r="A14" s="5" t="s">
        <v>159</v>
      </c>
      <c r="B14" s="5" t="s">
        <v>53</v>
      </c>
      <c r="C14" s="6">
        <v>46140.0</v>
      </c>
      <c r="D14" s="5" t="s">
        <v>46</v>
      </c>
      <c r="E14" s="5" t="s">
        <v>80</v>
      </c>
      <c r="F14" s="5" t="s">
        <v>42</v>
      </c>
      <c r="G14" s="5" t="s">
        <v>83</v>
      </c>
      <c r="H14" s="7">
        <v>2431.0</v>
      </c>
    </row>
    <row r="15">
      <c r="A15" s="5" t="s">
        <v>36</v>
      </c>
      <c r="B15" s="5" t="s">
        <v>122</v>
      </c>
      <c r="C15" s="6">
        <v>46149.0</v>
      </c>
      <c r="D15" s="5" t="s">
        <v>65</v>
      </c>
      <c r="E15" s="5" t="s">
        <v>91</v>
      </c>
      <c r="F15" s="5" t="s">
        <v>50</v>
      </c>
      <c r="G15" s="5" t="s">
        <v>94</v>
      </c>
      <c r="H15" s="7">
        <v>0.0</v>
      </c>
    </row>
    <row r="16">
      <c r="A16" s="5" t="s">
        <v>167</v>
      </c>
      <c r="B16" s="5" t="s">
        <v>169</v>
      </c>
      <c r="C16" s="6">
        <v>46158.0</v>
      </c>
      <c r="D16" s="5" t="s">
        <v>79</v>
      </c>
      <c r="E16" s="5" t="s">
        <v>102</v>
      </c>
      <c r="F16" s="5" t="s">
        <v>59</v>
      </c>
      <c r="G16" s="5" t="s">
        <v>105</v>
      </c>
      <c r="H16" s="7">
        <v>2705.0</v>
      </c>
    </row>
    <row r="17">
      <c r="A17" s="5" t="s">
        <v>173</v>
      </c>
      <c r="B17" s="5" t="s">
        <v>174</v>
      </c>
      <c r="C17" s="6">
        <v>46167.0</v>
      </c>
      <c r="D17" s="5" t="s">
        <v>89</v>
      </c>
      <c r="E17" s="5" t="s">
        <v>51</v>
      </c>
      <c r="F17" s="5" t="s">
        <v>71</v>
      </c>
      <c r="G17" s="5" t="s">
        <v>55</v>
      </c>
      <c r="H17" s="7">
        <v>2842.0</v>
      </c>
    </row>
    <row r="18">
      <c r="A18" s="5" t="s">
        <v>181</v>
      </c>
      <c r="B18" s="5" t="s">
        <v>182</v>
      </c>
      <c r="C18" s="6">
        <v>46176.0</v>
      </c>
      <c r="D18" s="5" t="s">
        <v>100</v>
      </c>
      <c r="E18" s="5" t="s">
        <v>68</v>
      </c>
      <c r="F18" s="5" t="s">
        <v>42</v>
      </c>
      <c r="G18" s="5" t="s">
        <v>72</v>
      </c>
      <c r="H18" s="7">
        <v>2979.0</v>
      </c>
    </row>
    <row r="19">
      <c r="A19" s="5" t="s">
        <v>189</v>
      </c>
      <c r="B19" s="5"/>
      <c r="C19" s="6">
        <v>46185.0</v>
      </c>
      <c r="D19" s="5" t="s">
        <v>110</v>
      </c>
      <c r="E19" s="5" t="s">
        <v>80</v>
      </c>
      <c r="F19" s="5" t="s">
        <v>50</v>
      </c>
      <c r="G19" s="5" t="s">
        <v>83</v>
      </c>
      <c r="H19" s="7">
        <v>3116.0</v>
      </c>
    </row>
    <row r="20">
      <c r="A20" s="5" t="s">
        <v>176</v>
      </c>
      <c r="B20" s="5" t="s">
        <v>195</v>
      </c>
      <c r="C20" s="6">
        <v>46194.0</v>
      </c>
      <c r="D20" s="5" t="s">
        <v>46</v>
      </c>
      <c r="E20" s="5" t="s">
        <v>91</v>
      </c>
      <c r="F20" s="5" t="s">
        <v>59</v>
      </c>
      <c r="G20" s="5" t="s">
        <v>94</v>
      </c>
      <c r="H20" s="7">
        <v>0.0</v>
      </c>
    </row>
    <row r="21" ht="15.75" customHeight="1">
      <c r="A21" s="5" t="s">
        <v>201</v>
      </c>
      <c r="B21" s="5" t="s">
        <v>203</v>
      </c>
      <c r="C21" s="6">
        <v>46203.0</v>
      </c>
      <c r="D21" s="5" t="s">
        <v>65</v>
      </c>
      <c r="E21" s="5" t="s">
        <v>102</v>
      </c>
      <c r="F21" s="5" t="s">
        <v>71</v>
      </c>
      <c r="G21" s="5" t="s">
        <v>105</v>
      </c>
      <c r="H21" s="7">
        <v>3390.0</v>
      </c>
    </row>
    <row r="22" ht="15.75" customHeight="1">
      <c r="A22" s="5" t="s">
        <v>208</v>
      </c>
      <c r="B22" s="5" t="s">
        <v>212</v>
      </c>
      <c r="C22" s="6">
        <v>46212.0</v>
      </c>
      <c r="D22" s="5" t="s">
        <v>79</v>
      </c>
      <c r="E22" s="5" t="s">
        <v>51</v>
      </c>
      <c r="F22" s="5" t="s">
        <v>42</v>
      </c>
      <c r="G22" s="5" t="s">
        <v>55</v>
      </c>
      <c r="H22" s="7">
        <v>3527.0</v>
      </c>
    </row>
    <row r="23" ht="15.75" customHeight="1">
      <c r="A23" s="5" t="s">
        <v>218</v>
      </c>
      <c r="B23" s="5" t="s">
        <v>220</v>
      </c>
      <c r="C23" s="6">
        <v>46221.0</v>
      </c>
      <c r="D23" s="5" t="s">
        <v>89</v>
      </c>
      <c r="E23" s="5" t="s">
        <v>68</v>
      </c>
      <c r="F23" s="5" t="s">
        <v>50</v>
      </c>
      <c r="G23" s="5" t="s">
        <v>72</v>
      </c>
      <c r="H23" s="7">
        <v>3664.0</v>
      </c>
    </row>
    <row r="24" ht="15.75" customHeight="1">
      <c r="A24" s="5" t="s">
        <v>129</v>
      </c>
      <c r="B24" s="5" t="s">
        <v>225</v>
      </c>
      <c r="C24" s="6">
        <v>46230.0</v>
      </c>
      <c r="D24" s="5" t="s">
        <v>100</v>
      </c>
      <c r="E24" s="5" t="s">
        <v>80</v>
      </c>
      <c r="F24" s="5" t="s">
        <v>59</v>
      </c>
      <c r="G24" s="5" t="s">
        <v>83</v>
      </c>
      <c r="H24" s="7">
        <v>3801.0</v>
      </c>
    </row>
    <row r="25" ht="15.75" customHeight="1">
      <c r="A25" s="5" t="s">
        <v>230</v>
      </c>
      <c r="B25" s="5"/>
      <c r="C25" s="6">
        <v>46239.0</v>
      </c>
      <c r="D25" s="5" t="s">
        <v>110</v>
      </c>
      <c r="E25" s="5" t="s">
        <v>91</v>
      </c>
      <c r="F25" s="5" t="s">
        <v>71</v>
      </c>
      <c r="G25" s="5" t="s">
        <v>94</v>
      </c>
      <c r="H25" s="7">
        <v>0.0</v>
      </c>
    </row>
    <row r="26" ht="15.75" customHeight="1">
      <c r="A26" s="5" t="s">
        <v>237</v>
      </c>
      <c r="B26" s="5" t="s">
        <v>238</v>
      </c>
      <c r="C26" s="6">
        <v>46248.0</v>
      </c>
      <c r="D26" s="5" t="s">
        <v>46</v>
      </c>
      <c r="E26" s="5" t="s">
        <v>102</v>
      </c>
      <c r="F26" s="5" t="s">
        <v>42</v>
      </c>
      <c r="G26" s="5" t="s">
        <v>105</v>
      </c>
      <c r="H26" s="7">
        <v>4075.0</v>
      </c>
    </row>
    <row r="27" ht="15.75" customHeight="1">
      <c r="A27" s="5" t="s">
        <v>243</v>
      </c>
      <c r="B27" s="5" t="s">
        <v>66</v>
      </c>
      <c r="C27" s="6">
        <v>46257.0</v>
      </c>
      <c r="D27" s="5" t="s">
        <v>65</v>
      </c>
      <c r="E27" s="5" t="s">
        <v>51</v>
      </c>
      <c r="F27" s="5" t="s">
        <v>50</v>
      </c>
      <c r="G27" s="5" t="s">
        <v>55</v>
      </c>
      <c r="H27" s="7">
        <v>4212.0</v>
      </c>
    </row>
    <row r="28" ht="15.75" customHeight="1">
      <c r="A28" s="5" t="s">
        <v>47</v>
      </c>
      <c r="B28" s="5" t="s">
        <v>127</v>
      </c>
      <c r="C28" s="6">
        <v>46026.0</v>
      </c>
      <c r="D28" s="5" t="s">
        <v>79</v>
      </c>
      <c r="E28" s="5" t="s">
        <v>68</v>
      </c>
      <c r="F28" s="5" t="s">
        <v>59</v>
      </c>
      <c r="G28" s="5" t="s">
        <v>72</v>
      </c>
      <c r="H28" s="7">
        <v>4349.0</v>
      </c>
    </row>
    <row r="29" ht="15.75" customHeight="1">
      <c r="A29" s="5" t="s">
        <v>229</v>
      </c>
      <c r="B29" s="5" t="s">
        <v>177</v>
      </c>
      <c r="C29" s="6">
        <v>46035.0</v>
      </c>
      <c r="D29" s="5" t="s">
        <v>89</v>
      </c>
      <c r="E29" s="5" t="s">
        <v>80</v>
      </c>
      <c r="F29" s="5" t="s">
        <v>71</v>
      </c>
      <c r="G29" s="5" t="s">
        <v>83</v>
      </c>
      <c r="H29" s="7">
        <v>4486.0</v>
      </c>
    </row>
    <row r="30" ht="15.75" customHeight="1">
      <c r="A30" s="5" t="s">
        <v>258</v>
      </c>
      <c r="B30" s="5" t="s">
        <v>217</v>
      </c>
      <c r="C30" s="6">
        <v>46044.0</v>
      </c>
      <c r="D30" s="5" t="s">
        <v>100</v>
      </c>
      <c r="E30" s="5" t="s">
        <v>91</v>
      </c>
      <c r="F30" s="5" t="s">
        <v>42</v>
      </c>
      <c r="G30" s="5" t="s">
        <v>94</v>
      </c>
      <c r="H30" s="7">
        <v>0.0</v>
      </c>
    </row>
    <row r="31" ht="15.75" customHeight="1">
      <c r="A31" s="5" t="s">
        <v>264</v>
      </c>
      <c r="B31" s="5"/>
      <c r="C31" s="6">
        <v>46053.0</v>
      </c>
      <c r="D31" s="5" t="s">
        <v>110</v>
      </c>
      <c r="E31" s="5" t="s">
        <v>102</v>
      </c>
      <c r="F31" s="5" t="s">
        <v>50</v>
      </c>
      <c r="G31" s="5" t="s">
        <v>105</v>
      </c>
      <c r="H31" s="7">
        <v>4760.0</v>
      </c>
    </row>
    <row r="32" ht="15.75" customHeight="1">
      <c r="A32" s="5" t="s">
        <v>268</v>
      </c>
      <c r="B32" s="5" t="s">
        <v>269</v>
      </c>
      <c r="C32" s="6">
        <v>46062.0</v>
      </c>
      <c r="D32" s="5" t="s">
        <v>46</v>
      </c>
      <c r="E32" s="5" t="s">
        <v>51</v>
      </c>
      <c r="F32" s="5" t="s">
        <v>59</v>
      </c>
      <c r="G32" s="5" t="s">
        <v>55</v>
      </c>
      <c r="H32" s="7">
        <v>4897.0</v>
      </c>
    </row>
    <row r="33" ht="15.75" customHeight="1">
      <c r="A33" s="5" t="s">
        <v>180</v>
      </c>
      <c r="B33" s="5" t="s">
        <v>274</v>
      </c>
      <c r="C33" s="6">
        <v>46071.0</v>
      </c>
      <c r="D33" s="5" t="s">
        <v>65</v>
      </c>
      <c r="E33" s="5" t="s">
        <v>68</v>
      </c>
      <c r="F33" s="5" t="s">
        <v>71</v>
      </c>
      <c r="G33" s="5" t="s">
        <v>72</v>
      </c>
      <c r="H33" s="7">
        <v>5034.0</v>
      </c>
    </row>
    <row r="34" ht="15.75" customHeight="1">
      <c r="A34" s="5" t="s">
        <v>279</v>
      </c>
      <c r="B34" s="5" t="s">
        <v>280</v>
      </c>
      <c r="C34" s="6">
        <v>46080.0</v>
      </c>
      <c r="D34" s="5" t="s">
        <v>79</v>
      </c>
      <c r="E34" s="5" t="s">
        <v>80</v>
      </c>
      <c r="F34" s="5" t="s">
        <v>42</v>
      </c>
      <c r="G34" s="5" t="s">
        <v>83</v>
      </c>
      <c r="H34" s="7">
        <v>5171.0</v>
      </c>
    </row>
    <row r="35" ht="15.75" customHeight="1">
      <c r="A35" s="5" t="s">
        <v>285</v>
      </c>
      <c r="B35" s="5" t="s">
        <v>286</v>
      </c>
      <c r="C35" s="6">
        <v>46089.0</v>
      </c>
      <c r="D35" s="5" t="s">
        <v>89</v>
      </c>
      <c r="E35" s="5" t="s">
        <v>91</v>
      </c>
      <c r="F35" s="5" t="s">
        <v>50</v>
      </c>
      <c r="G35" s="5" t="s">
        <v>94</v>
      </c>
      <c r="H35" s="7">
        <v>0.0</v>
      </c>
    </row>
    <row r="36" ht="15.75" customHeight="1">
      <c r="A36" s="5" t="s">
        <v>291</v>
      </c>
      <c r="B36" s="5" t="s">
        <v>292</v>
      </c>
      <c r="C36" s="6">
        <v>46098.0</v>
      </c>
      <c r="D36" s="5" t="s">
        <v>100</v>
      </c>
      <c r="E36" s="5" t="s">
        <v>102</v>
      </c>
      <c r="F36" s="5" t="s">
        <v>59</v>
      </c>
      <c r="G36" s="5" t="s">
        <v>105</v>
      </c>
      <c r="H36" s="7">
        <v>845.0</v>
      </c>
    </row>
    <row r="37" ht="15.75" customHeight="1">
      <c r="A37" s="5" t="s">
        <v>136</v>
      </c>
      <c r="B37" s="5"/>
      <c r="C37" s="6">
        <v>46107.0</v>
      </c>
      <c r="D37" s="5" t="s">
        <v>110</v>
      </c>
      <c r="E37" s="5" t="s">
        <v>51</v>
      </c>
      <c r="F37" s="5" t="s">
        <v>71</v>
      </c>
      <c r="G37" s="5" t="s">
        <v>55</v>
      </c>
      <c r="H37" s="7">
        <v>982.0</v>
      </c>
    </row>
    <row r="38" ht="15.75" customHeight="1">
      <c r="A38" s="5" t="s">
        <v>290</v>
      </c>
      <c r="B38" s="5" t="s">
        <v>306</v>
      </c>
      <c r="C38" s="6">
        <v>46116.0</v>
      </c>
      <c r="D38" s="5" t="s">
        <v>46</v>
      </c>
      <c r="E38" s="5" t="s">
        <v>68</v>
      </c>
      <c r="F38" s="5" t="s">
        <v>42</v>
      </c>
      <c r="G38" s="5" t="s">
        <v>72</v>
      </c>
      <c r="H38" s="7">
        <v>1119.0</v>
      </c>
    </row>
    <row r="39" ht="15.75" customHeight="1">
      <c r="A39" s="5" t="s">
        <v>310</v>
      </c>
      <c r="B39" s="5" t="s">
        <v>311</v>
      </c>
      <c r="C39" s="6">
        <v>46125.0</v>
      </c>
      <c r="D39" s="5" t="s">
        <v>65</v>
      </c>
      <c r="E39" s="5" t="s">
        <v>80</v>
      </c>
      <c r="F39" s="5" t="s">
        <v>50</v>
      </c>
      <c r="G39" s="5" t="s">
        <v>83</v>
      </c>
      <c r="H39" s="7">
        <v>1256.0</v>
      </c>
    </row>
    <row r="40" ht="15.75" customHeight="1">
      <c r="A40" s="5" t="s">
        <v>316</v>
      </c>
      <c r="B40" s="5" t="s">
        <v>78</v>
      </c>
      <c r="C40" s="6">
        <v>46134.0</v>
      </c>
      <c r="D40" s="5" t="s">
        <v>79</v>
      </c>
      <c r="E40" s="5" t="s">
        <v>91</v>
      </c>
      <c r="F40" s="5" t="s">
        <v>59</v>
      </c>
      <c r="G40" s="5" t="s">
        <v>94</v>
      </c>
      <c r="H40" s="7">
        <v>0.0</v>
      </c>
    </row>
    <row r="41" ht="15.75" customHeight="1">
      <c r="A41" s="5" t="s">
        <v>54</v>
      </c>
      <c r="B41" s="5" t="s">
        <v>135</v>
      </c>
      <c r="C41" s="6">
        <v>46143.0</v>
      </c>
      <c r="D41" s="5" t="s">
        <v>89</v>
      </c>
      <c r="E41" s="5" t="s">
        <v>102</v>
      </c>
      <c r="F41" s="5" t="s">
        <v>71</v>
      </c>
      <c r="G41" s="5" t="s">
        <v>105</v>
      </c>
      <c r="H41" s="7">
        <v>1530.0</v>
      </c>
    </row>
    <row r="42" ht="15.75" customHeight="1">
      <c r="A42" s="5" t="s">
        <v>234</v>
      </c>
      <c r="B42" s="5" t="s">
        <v>184</v>
      </c>
      <c r="C42" s="6">
        <v>46152.0</v>
      </c>
      <c r="D42" s="5" t="s">
        <v>100</v>
      </c>
      <c r="E42" s="5" t="s">
        <v>51</v>
      </c>
      <c r="F42" s="5" t="s">
        <v>42</v>
      </c>
      <c r="G42" s="5" t="s">
        <v>55</v>
      </c>
      <c r="H42" s="7">
        <v>1667.0</v>
      </c>
    </row>
    <row r="43" ht="15.75" customHeight="1">
      <c r="A43" s="5" t="s">
        <v>338</v>
      </c>
      <c r="B43" s="5"/>
      <c r="C43" s="6">
        <v>46161.0</v>
      </c>
      <c r="D43" s="5" t="s">
        <v>110</v>
      </c>
      <c r="E43" s="5" t="s">
        <v>68</v>
      </c>
      <c r="F43" s="5" t="s">
        <v>50</v>
      </c>
      <c r="G43" s="5" t="s">
        <v>72</v>
      </c>
      <c r="H43" s="7">
        <v>1804.0</v>
      </c>
    </row>
    <row r="44" ht="15.75" customHeight="1">
      <c r="A44" s="5" t="s">
        <v>344</v>
      </c>
      <c r="B44" s="5" t="s">
        <v>252</v>
      </c>
      <c r="C44" s="6">
        <v>46170.0</v>
      </c>
      <c r="D44" s="5" t="s">
        <v>46</v>
      </c>
      <c r="E44" s="5" t="s">
        <v>80</v>
      </c>
      <c r="F44" s="5" t="s">
        <v>59</v>
      </c>
      <c r="G44" s="5" t="s">
        <v>83</v>
      </c>
      <c r="H44" s="7">
        <v>1941.0</v>
      </c>
    </row>
    <row r="45" ht="15.75" customHeight="1">
      <c r="A45" s="5" t="s">
        <v>349</v>
      </c>
      <c r="B45" s="5" t="s">
        <v>282</v>
      </c>
      <c r="C45" s="6">
        <v>46179.0</v>
      </c>
      <c r="D45" s="5" t="s">
        <v>65</v>
      </c>
      <c r="E45" s="5" t="s">
        <v>91</v>
      </c>
      <c r="F45" s="5" t="s">
        <v>71</v>
      </c>
      <c r="G45" s="5" t="s">
        <v>94</v>
      </c>
      <c r="H45" s="7">
        <v>0.0</v>
      </c>
    </row>
    <row r="46" ht="15.75" customHeight="1">
      <c r="A46" s="5" t="s">
        <v>185</v>
      </c>
      <c r="B46" s="5" t="s">
        <v>312</v>
      </c>
      <c r="C46" s="6">
        <v>46188.0</v>
      </c>
      <c r="D46" s="5" t="s">
        <v>79</v>
      </c>
      <c r="E46" s="5" t="s">
        <v>102</v>
      </c>
      <c r="F46" s="5" t="s">
        <v>42</v>
      </c>
      <c r="G46" s="5" t="s">
        <v>105</v>
      </c>
      <c r="H46" s="7">
        <v>2215.0</v>
      </c>
    </row>
    <row r="47" ht="15.75" customHeight="1">
      <c r="A47" s="5" t="s">
        <v>351</v>
      </c>
      <c r="B47" s="5" t="s">
        <v>337</v>
      </c>
      <c r="C47" s="6">
        <v>46197.0</v>
      </c>
      <c r="D47" s="5" t="s">
        <v>89</v>
      </c>
      <c r="E47" s="5" t="s">
        <v>51</v>
      </c>
      <c r="F47" s="5" t="s">
        <v>50</v>
      </c>
      <c r="G47" s="5" t="s">
        <v>55</v>
      </c>
      <c r="H47" s="7">
        <v>2352.0</v>
      </c>
    </row>
    <row r="48" ht="15.75" customHeight="1">
      <c r="A48" s="5" t="s">
        <v>364</v>
      </c>
      <c r="B48" s="5" t="s">
        <v>359</v>
      </c>
      <c r="C48" s="6">
        <v>46206.0</v>
      </c>
      <c r="D48" s="5" t="s">
        <v>100</v>
      </c>
      <c r="E48" s="5" t="s">
        <v>68</v>
      </c>
      <c r="F48" s="5" t="s">
        <v>59</v>
      </c>
      <c r="G48" s="5" t="s">
        <v>72</v>
      </c>
      <c r="H48" s="7">
        <v>2489.0</v>
      </c>
    </row>
    <row r="49" ht="15.75" customHeight="1">
      <c r="A49" s="5" t="s">
        <v>371</v>
      </c>
      <c r="B49" s="5"/>
      <c r="C49" s="6">
        <v>46215.0</v>
      </c>
      <c r="D49" s="5" t="s">
        <v>110</v>
      </c>
      <c r="E49" s="5" t="s">
        <v>80</v>
      </c>
      <c r="F49" s="5" t="s">
        <v>71</v>
      </c>
      <c r="G49" s="5" t="s">
        <v>83</v>
      </c>
      <c r="H49" s="7">
        <v>2626.0</v>
      </c>
    </row>
    <row r="50" ht="15.75" customHeight="1">
      <c r="A50" s="5" t="s">
        <v>140</v>
      </c>
      <c r="B50" s="5" t="s">
        <v>377</v>
      </c>
      <c r="C50" s="6">
        <v>46224.0</v>
      </c>
      <c r="D50" s="5" t="s">
        <v>46</v>
      </c>
      <c r="E50" s="5" t="s">
        <v>91</v>
      </c>
      <c r="F50" s="5" t="s">
        <v>42</v>
      </c>
      <c r="G50" s="5" t="s">
        <v>94</v>
      </c>
      <c r="H50" s="7">
        <v>0.0</v>
      </c>
    </row>
    <row r="51" ht="15.75" customHeight="1">
      <c r="A51" s="5" t="s">
        <v>296</v>
      </c>
      <c r="B51" s="5" t="s">
        <v>384</v>
      </c>
      <c r="C51" s="6">
        <v>46233.0</v>
      </c>
      <c r="D51" s="5" t="s">
        <v>65</v>
      </c>
      <c r="E51" s="5" t="s">
        <v>102</v>
      </c>
      <c r="F51" s="5" t="s">
        <v>50</v>
      </c>
      <c r="G51" s="5" t="s">
        <v>105</v>
      </c>
      <c r="H51" s="7">
        <v>2900.0</v>
      </c>
    </row>
    <row r="52" ht="15.75" customHeight="1">
      <c r="A52" s="5" t="s">
        <v>390</v>
      </c>
      <c r="B52" s="5" t="s">
        <v>391</v>
      </c>
      <c r="C52" s="6">
        <v>46242.0</v>
      </c>
      <c r="D52" s="5" t="s">
        <v>79</v>
      </c>
      <c r="E52" s="5" t="s">
        <v>51</v>
      </c>
      <c r="F52" s="5" t="s">
        <v>59</v>
      </c>
      <c r="G52" s="5" t="s">
        <v>55</v>
      </c>
      <c r="H52" s="7">
        <v>3037.0</v>
      </c>
    </row>
    <row r="53" ht="15.75" customHeight="1">
      <c r="A53" s="5" t="s">
        <v>395</v>
      </c>
      <c r="B53" s="5" t="s">
        <v>90</v>
      </c>
      <c r="C53" s="6">
        <v>46251.0</v>
      </c>
      <c r="D53" s="5" t="s">
        <v>89</v>
      </c>
      <c r="E53" s="5" t="s">
        <v>68</v>
      </c>
      <c r="F53" s="5" t="s">
        <v>71</v>
      </c>
      <c r="G53" s="5" t="s">
        <v>72</v>
      </c>
      <c r="H53" s="7">
        <v>3174.0</v>
      </c>
    </row>
    <row r="54" ht="15.75" customHeight="1">
      <c r="A54" s="5" t="s">
        <v>63</v>
      </c>
      <c r="B54" s="5" t="s">
        <v>141</v>
      </c>
      <c r="C54" s="6">
        <v>46260.0</v>
      </c>
      <c r="D54" s="5" t="s">
        <v>100</v>
      </c>
      <c r="E54" s="5" t="s">
        <v>80</v>
      </c>
      <c r="F54" s="5" t="s">
        <v>42</v>
      </c>
      <c r="G54" s="5" t="s">
        <v>83</v>
      </c>
      <c r="H54" s="7">
        <v>3311.0</v>
      </c>
    </row>
    <row r="55" ht="15.75" customHeight="1">
      <c r="A55" s="5" t="s">
        <v>240</v>
      </c>
      <c r="B55" s="5"/>
      <c r="C55" s="6">
        <v>46029.0</v>
      </c>
      <c r="D55" s="5" t="s">
        <v>110</v>
      </c>
      <c r="E55" s="5" t="s">
        <v>91</v>
      </c>
      <c r="F55" s="5" t="s">
        <v>50</v>
      </c>
      <c r="G55" s="5" t="s">
        <v>94</v>
      </c>
      <c r="H55" s="7">
        <v>0.0</v>
      </c>
    </row>
    <row r="56" ht="15.75" customHeight="1">
      <c r="A56" s="5" t="s">
        <v>403</v>
      </c>
      <c r="B56" s="5" t="s">
        <v>226</v>
      </c>
      <c r="C56" s="6">
        <v>46038.0</v>
      </c>
      <c r="D56" s="5" t="s">
        <v>46</v>
      </c>
      <c r="E56" s="5" t="s">
        <v>102</v>
      </c>
      <c r="F56" s="5" t="s">
        <v>59</v>
      </c>
      <c r="G56" s="5" t="s">
        <v>105</v>
      </c>
      <c r="H56" s="7">
        <v>3585.0</v>
      </c>
    </row>
    <row r="57" ht="15.75" customHeight="1">
      <c r="A57" s="5" t="s">
        <v>411</v>
      </c>
      <c r="B57" s="5" t="s">
        <v>256</v>
      </c>
      <c r="C57" s="6">
        <v>46047.0</v>
      </c>
      <c r="D57" s="5" t="s">
        <v>65</v>
      </c>
      <c r="E57" s="5" t="s">
        <v>51</v>
      </c>
      <c r="F57" s="5" t="s">
        <v>71</v>
      </c>
      <c r="G57" s="5" t="s">
        <v>55</v>
      </c>
      <c r="H57" s="7">
        <v>3722.0</v>
      </c>
    </row>
    <row r="58" ht="15.75" customHeight="1">
      <c r="A58" s="5" t="s">
        <v>413</v>
      </c>
      <c r="B58" s="5" t="s">
        <v>287</v>
      </c>
      <c r="C58" s="6">
        <v>46056.0</v>
      </c>
      <c r="D58" s="5" t="s">
        <v>79</v>
      </c>
      <c r="E58" s="5" t="s">
        <v>68</v>
      </c>
      <c r="F58" s="5" t="s">
        <v>42</v>
      </c>
      <c r="G58" s="5" t="s">
        <v>72</v>
      </c>
      <c r="H58" s="7">
        <v>3859.0</v>
      </c>
    </row>
    <row r="59" ht="15.75" customHeight="1">
      <c r="A59" s="5" t="s">
        <v>188</v>
      </c>
      <c r="B59" s="5" t="s">
        <v>317</v>
      </c>
      <c r="C59" s="6">
        <v>46065.0</v>
      </c>
      <c r="D59" s="5" t="s">
        <v>89</v>
      </c>
      <c r="E59" s="5" t="s">
        <v>80</v>
      </c>
      <c r="F59" s="5" t="s">
        <v>50</v>
      </c>
      <c r="G59" s="5" t="s">
        <v>83</v>
      </c>
      <c r="H59" s="7">
        <v>3996.0</v>
      </c>
    </row>
    <row r="60" ht="15.75" customHeight="1">
      <c r="A60" s="5" t="s">
        <v>354</v>
      </c>
      <c r="B60" s="5" t="s">
        <v>341</v>
      </c>
      <c r="C60" s="6">
        <v>46074.0</v>
      </c>
      <c r="D60" s="5" t="s">
        <v>100</v>
      </c>
      <c r="E60" s="5" t="s">
        <v>91</v>
      </c>
      <c r="F60" s="5" t="s">
        <v>59</v>
      </c>
      <c r="G60" s="5" t="s">
        <v>94</v>
      </c>
      <c r="H60" s="7">
        <v>0.0</v>
      </c>
    </row>
    <row r="61" ht="15.75" customHeight="1">
      <c r="A61" s="5" t="s">
        <v>432</v>
      </c>
      <c r="B61" s="5"/>
      <c r="C61" s="6">
        <v>46083.0</v>
      </c>
      <c r="D61" s="5" t="s">
        <v>110</v>
      </c>
      <c r="E61" s="5" t="s">
        <v>102</v>
      </c>
      <c r="F61" s="5" t="s">
        <v>71</v>
      </c>
      <c r="G61" s="5" t="s">
        <v>105</v>
      </c>
      <c r="H61" s="7">
        <v>4270.0</v>
      </c>
    </row>
    <row r="62" ht="15.75" customHeight="1">
      <c r="A62" s="5" t="s">
        <v>437</v>
      </c>
      <c r="B62" s="5" t="s">
        <v>389</v>
      </c>
      <c r="C62" s="6">
        <v>46092.0</v>
      </c>
      <c r="D62" s="5" t="s">
        <v>46</v>
      </c>
      <c r="E62" s="5" t="s">
        <v>51</v>
      </c>
      <c r="F62" s="5" t="s">
        <v>42</v>
      </c>
      <c r="G62" s="5" t="s">
        <v>55</v>
      </c>
      <c r="H62" s="7">
        <v>4407.0</v>
      </c>
    </row>
    <row r="63" ht="15.75" customHeight="1">
      <c r="A63" s="5" t="s">
        <v>144</v>
      </c>
      <c r="B63" s="5" t="s">
        <v>416</v>
      </c>
      <c r="C63" s="6">
        <v>46101.0</v>
      </c>
      <c r="D63" s="5" t="s">
        <v>65</v>
      </c>
      <c r="E63" s="5" t="s">
        <v>68</v>
      </c>
      <c r="F63" s="5" t="s">
        <v>50</v>
      </c>
      <c r="G63" s="5" t="s">
        <v>72</v>
      </c>
      <c r="H63" s="7">
        <v>4544.0</v>
      </c>
    </row>
    <row r="64" ht="15.75" customHeight="1">
      <c r="A64" s="5" t="s">
        <v>300</v>
      </c>
      <c r="B64" s="5" t="s">
        <v>441</v>
      </c>
      <c r="C64" s="6">
        <v>46110.0</v>
      </c>
      <c r="D64" s="5" t="s">
        <v>79</v>
      </c>
      <c r="E64" s="5" t="s">
        <v>80</v>
      </c>
      <c r="F64" s="5" t="s">
        <v>59</v>
      </c>
      <c r="G64" s="5" t="s">
        <v>83</v>
      </c>
      <c r="H64" s="7">
        <v>4681.0</v>
      </c>
    </row>
    <row r="65" ht="15.75" customHeight="1">
      <c r="A65" s="5" t="s">
        <v>449</v>
      </c>
      <c r="B65" s="5" t="s">
        <v>450</v>
      </c>
      <c r="C65" s="6">
        <v>46119.0</v>
      </c>
      <c r="D65" s="5" t="s">
        <v>89</v>
      </c>
      <c r="E65" s="5" t="s">
        <v>91</v>
      </c>
      <c r="F65" s="5" t="s">
        <v>71</v>
      </c>
      <c r="G65" s="5" t="s">
        <v>94</v>
      </c>
      <c r="H65" s="7">
        <v>0.0</v>
      </c>
    </row>
    <row r="66" ht="15.75" customHeight="1">
      <c r="A66" s="5" t="s">
        <v>454</v>
      </c>
      <c r="B66" s="5" t="s">
        <v>103</v>
      </c>
      <c r="C66" s="6">
        <v>46128.0</v>
      </c>
      <c r="D66" s="5" t="s">
        <v>100</v>
      </c>
      <c r="E66" s="5" t="s">
        <v>102</v>
      </c>
      <c r="F66" s="5" t="s">
        <v>42</v>
      </c>
      <c r="G66" s="5" t="s">
        <v>105</v>
      </c>
      <c r="H66" s="7">
        <v>4955.0</v>
      </c>
    </row>
    <row r="67" ht="15.75" customHeight="1">
      <c r="A67" s="5" t="s">
        <v>76</v>
      </c>
      <c r="B67" s="5"/>
      <c r="C67" s="6">
        <v>46137.0</v>
      </c>
      <c r="D67" s="5" t="s">
        <v>110</v>
      </c>
      <c r="E67" s="5" t="s">
        <v>51</v>
      </c>
      <c r="F67" s="5" t="s">
        <v>50</v>
      </c>
      <c r="G67" s="5" t="s">
        <v>55</v>
      </c>
      <c r="H67" s="7">
        <v>5092.0</v>
      </c>
    </row>
    <row r="68" ht="15.75" customHeight="1">
      <c r="A68" s="5" t="s">
        <v>244</v>
      </c>
      <c r="B68" s="5" t="s">
        <v>194</v>
      </c>
      <c r="C68" s="6">
        <v>46146.0</v>
      </c>
      <c r="D68" s="5" t="s">
        <v>46</v>
      </c>
      <c r="E68" s="5" t="s">
        <v>68</v>
      </c>
      <c r="F68" s="5" t="s">
        <v>59</v>
      </c>
      <c r="G68" s="5" t="s">
        <v>72</v>
      </c>
      <c r="H68" s="7">
        <v>5229.0</v>
      </c>
    </row>
    <row r="69" ht="15.75" customHeight="1">
      <c r="A69" s="5" t="s">
        <v>406</v>
      </c>
      <c r="B69" s="5" t="s">
        <v>231</v>
      </c>
      <c r="C69" s="6">
        <v>46155.0</v>
      </c>
      <c r="D69" s="5" t="s">
        <v>65</v>
      </c>
      <c r="E69" s="5" t="s">
        <v>80</v>
      </c>
      <c r="F69" s="5" t="s">
        <v>71</v>
      </c>
      <c r="G69" s="5" t="s">
        <v>83</v>
      </c>
      <c r="H69" s="7">
        <v>766.0</v>
      </c>
    </row>
    <row r="70" ht="15.75" customHeight="1">
      <c r="A70" s="5" t="s">
        <v>471</v>
      </c>
      <c r="B70" s="5" t="s">
        <v>261</v>
      </c>
      <c r="C70" s="6">
        <v>46164.0</v>
      </c>
      <c r="D70" s="5" t="s">
        <v>79</v>
      </c>
      <c r="E70" s="5" t="s">
        <v>91</v>
      </c>
      <c r="F70" s="5" t="s">
        <v>42</v>
      </c>
      <c r="G70" s="5" t="s">
        <v>94</v>
      </c>
      <c r="H70" s="7">
        <v>0.0</v>
      </c>
    </row>
    <row r="71" ht="15.75" customHeight="1">
      <c r="A71" s="5" t="s">
        <v>474</v>
      </c>
      <c r="B71" s="5" t="s">
        <v>293</v>
      </c>
      <c r="C71" s="6">
        <v>46173.0</v>
      </c>
      <c r="D71" s="5" t="s">
        <v>89</v>
      </c>
      <c r="E71" s="5" t="s">
        <v>102</v>
      </c>
      <c r="F71" s="5" t="s">
        <v>50</v>
      </c>
      <c r="G71" s="5" t="s">
        <v>105</v>
      </c>
      <c r="H71" s="7">
        <v>1040.0</v>
      </c>
    </row>
    <row r="72" ht="15.75" customHeight="1">
      <c r="A72" s="5" t="s">
        <v>193</v>
      </c>
      <c r="B72" s="5" t="s">
        <v>321</v>
      </c>
      <c r="C72" s="6">
        <v>46182.0</v>
      </c>
      <c r="D72" s="5" t="s">
        <v>100</v>
      </c>
      <c r="E72" s="5" t="s">
        <v>51</v>
      </c>
      <c r="F72" s="5" t="s">
        <v>59</v>
      </c>
      <c r="G72" s="5" t="s">
        <v>55</v>
      </c>
      <c r="H72" s="7">
        <v>1177.0</v>
      </c>
    </row>
    <row r="73" ht="15.75" customHeight="1">
      <c r="A73" s="5" t="s">
        <v>358</v>
      </c>
      <c r="B73" s="5"/>
      <c r="C73" s="6">
        <v>46191.0</v>
      </c>
      <c r="D73" s="5" t="s">
        <v>110</v>
      </c>
      <c r="E73" s="5" t="s">
        <v>68</v>
      </c>
      <c r="F73" s="5" t="s">
        <v>71</v>
      </c>
      <c r="G73" s="5" t="s">
        <v>72</v>
      </c>
      <c r="H73" s="7">
        <v>1314.0</v>
      </c>
    </row>
    <row r="74" ht="15.75" customHeight="1">
      <c r="A74" s="5" t="s">
        <v>482</v>
      </c>
      <c r="B74" s="5" t="s">
        <v>368</v>
      </c>
      <c r="C74" s="6">
        <v>46200.0</v>
      </c>
      <c r="D74" s="5" t="s">
        <v>46</v>
      </c>
      <c r="E74" s="5" t="s">
        <v>80</v>
      </c>
      <c r="F74" s="5" t="s">
        <v>42</v>
      </c>
      <c r="G74" s="5" t="s">
        <v>83</v>
      </c>
      <c r="H74" s="7">
        <v>1451.0</v>
      </c>
    </row>
    <row r="75" ht="15.75" customHeight="1">
      <c r="A75" s="5" t="s">
        <v>484</v>
      </c>
      <c r="B75" s="5" t="s">
        <v>394</v>
      </c>
      <c r="C75" s="6">
        <v>46209.0</v>
      </c>
      <c r="D75" s="5" t="s">
        <v>65</v>
      </c>
      <c r="E75" s="5" t="s">
        <v>91</v>
      </c>
      <c r="F75" s="5" t="s">
        <v>50</v>
      </c>
      <c r="G75" s="5" t="s">
        <v>94</v>
      </c>
      <c r="H75" s="7">
        <v>0.0</v>
      </c>
    </row>
    <row r="76" ht="15.75" customHeight="1">
      <c r="A76" s="5" t="s">
        <v>147</v>
      </c>
      <c r="B76" s="5" t="s">
        <v>420</v>
      </c>
      <c r="C76" s="6">
        <v>46218.0</v>
      </c>
      <c r="D76" s="5" t="s">
        <v>79</v>
      </c>
      <c r="E76" s="5" t="s">
        <v>102</v>
      </c>
      <c r="F76" s="5" t="s">
        <v>59</v>
      </c>
      <c r="G76" s="5" t="s">
        <v>105</v>
      </c>
      <c r="H76" s="7">
        <v>1725.0</v>
      </c>
    </row>
    <row r="77" ht="15.75" customHeight="1">
      <c r="A77" s="5" t="s">
        <v>304</v>
      </c>
      <c r="B77" s="5" t="s">
        <v>444</v>
      </c>
      <c r="C77" s="6">
        <v>46227.0</v>
      </c>
      <c r="D77" s="5" t="s">
        <v>89</v>
      </c>
      <c r="E77" s="5" t="s">
        <v>51</v>
      </c>
      <c r="F77" s="5" t="s">
        <v>71</v>
      </c>
      <c r="G77" s="5" t="s">
        <v>55</v>
      </c>
      <c r="H77" s="7">
        <v>1862.0</v>
      </c>
    </row>
    <row r="78" ht="15.75" customHeight="1">
      <c r="A78" s="5" t="s">
        <v>457</v>
      </c>
      <c r="B78" s="5" t="s">
        <v>466</v>
      </c>
      <c r="C78" s="6">
        <v>46236.0</v>
      </c>
      <c r="D78" s="5" t="s">
        <v>100</v>
      </c>
      <c r="E78" s="5" t="s">
        <v>68</v>
      </c>
      <c r="F78" s="5" t="s">
        <v>42</v>
      </c>
      <c r="G78" s="5" t="s">
        <v>72</v>
      </c>
      <c r="H78" s="7">
        <v>1999.0</v>
      </c>
    </row>
    <row r="79" ht="15.75" customHeight="1">
      <c r="A79" s="5" t="s">
        <v>498</v>
      </c>
      <c r="B79" s="5"/>
      <c r="C79" s="6">
        <v>46245.0</v>
      </c>
      <c r="D79" s="5" t="s">
        <v>110</v>
      </c>
      <c r="E79" s="5" t="s">
        <v>80</v>
      </c>
      <c r="F79" s="5" t="s">
        <v>50</v>
      </c>
      <c r="G79" s="5" t="s">
        <v>83</v>
      </c>
      <c r="H79" s="7">
        <v>2136.0</v>
      </c>
    </row>
    <row r="80" ht="15.75" customHeight="1">
      <c r="A80" s="5" t="s">
        <v>87</v>
      </c>
      <c r="B80" s="5" t="s">
        <v>162</v>
      </c>
      <c r="C80" s="6">
        <v>46254.0</v>
      </c>
      <c r="D80" s="5" t="s">
        <v>46</v>
      </c>
      <c r="E80" s="5" t="s">
        <v>91</v>
      </c>
      <c r="F80" s="5" t="s">
        <v>59</v>
      </c>
      <c r="G80" s="5" t="s">
        <v>94</v>
      </c>
      <c r="H80" s="7">
        <v>0.0</v>
      </c>
    </row>
    <row r="81" ht="15.75" customHeight="1">
      <c r="A81" s="5" t="s">
        <v>247</v>
      </c>
      <c r="B81" s="5" t="s">
        <v>202</v>
      </c>
      <c r="C81" s="6">
        <v>46023.0</v>
      </c>
      <c r="D81" s="5" t="s">
        <v>65</v>
      </c>
      <c r="E81" s="5" t="s">
        <v>102</v>
      </c>
      <c r="F81" s="5" t="s">
        <v>71</v>
      </c>
      <c r="G81" s="5" t="s">
        <v>105</v>
      </c>
      <c r="H81" s="7">
        <v>2410.0</v>
      </c>
    </row>
    <row r="82" ht="15.75" customHeight="1">
      <c r="A82" s="5" t="s">
        <v>410</v>
      </c>
      <c r="B82" s="5" t="s">
        <v>235</v>
      </c>
      <c r="C82" s="6">
        <v>46032.0</v>
      </c>
      <c r="D82" s="5" t="s">
        <v>79</v>
      </c>
      <c r="E82" s="5" t="s">
        <v>51</v>
      </c>
      <c r="F82" s="5" t="s">
        <v>42</v>
      </c>
      <c r="G82" s="5" t="s">
        <v>55</v>
      </c>
      <c r="H82" s="7">
        <v>2547.0</v>
      </c>
    </row>
    <row r="83" ht="15.75" customHeight="1">
      <c r="A83" s="5" t="s">
        <v>505</v>
      </c>
      <c r="B83" s="5" t="s">
        <v>266</v>
      </c>
      <c r="C83" s="6">
        <v>46041.0</v>
      </c>
      <c r="D83" s="5" t="s">
        <v>89</v>
      </c>
      <c r="E83" s="5" t="s">
        <v>68</v>
      </c>
      <c r="F83" s="5" t="s">
        <v>50</v>
      </c>
      <c r="G83" s="5" t="s">
        <v>72</v>
      </c>
      <c r="H83" s="7">
        <v>2684.0</v>
      </c>
    </row>
    <row r="84" ht="15.75" customHeight="1">
      <c r="A84" s="5" t="s">
        <v>511</v>
      </c>
      <c r="B84" s="5" t="s">
        <v>297</v>
      </c>
      <c r="C84" s="6">
        <v>46050.0</v>
      </c>
      <c r="D84" s="5" t="s">
        <v>100</v>
      </c>
      <c r="E84" s="5" t="s">
        <v>80</v>
      </c>
      <c r="F84" s="5" t="s">
        <v>59</v>
      </c>
      <c r="G84" s="5" t="s">
        <v>83</v>
      </c>
      <c r="H84" s="7">
        <v>2821.0</v>
      </c>
    </row>
    <row r="85" ht="15.75" customHeight="1">
      <c r="A85" s="5" t="s">
        <v>198</v>
      </c>
      <c r="B85" s="5"/>
      <c r="C85" s="6">
        <v>46059.0</v>
      </c>
      <c r="D85" s="5" t="s">
        <v>110</v>
      </c>
      <c r="E85" s="5" t="s">
        <v>91</v>
      </c>
      <c r="F85" s="5" t="s">
        <v>71</v>
      </c>
      <c r="G85" s="5" t="s">
        <v>94</v>
      </c>
      <c r="H85" s="7">
        <v>0.0</v>
      </c>
    </row>
    <row r="86" ht="15.75" customHeight="1">
      <c r="A86" s="5" t="s">
        <v>362</v>
      </c>
      <c r="B86" s="5" t="s">
        <v>347</v>
      </c>
      <c r="C86" s="6">
        <v>46068.0</v>
      </c>
      <c r="D86" s="5" t="s">
        <v>46</v>
      </c>
      <c r="E86" s="5" t="s">
        <v>102</v>
      </c>
      <c r="F86" s="5" t="s">
        <v>42</v>
      </c>
      <c r="G86" s="5" t="s">
        <v>105</v>
      </c>
      <c r="H86" s="7">
        <v>3095.0</v>
      </c>
    </row>
    <row r="87" ht="15.75" customHeight="1">
      <c r="A87" s="5" t="s">
        <v>486</v>
      </c>
      <c r="B87" s="5" t="s">
        <v>373</v>
      </c>
      <c r="C87" s="6">
        <v>46077.0</v>
      </c>
      <c r="D87" s="5" t="s">
        <v>65</v>
      </c>
      <c r="E87" s="5" t="s">
        <v>51</v>
      </c>
      <c r="F87" s="5" t="s">
        <v>50</v>
      </c>
      <c r="G87" s="5" t="s">
        <v>55</v>
      </c>
      <c r="H87" s="7">
        <v>3232.0</v>
      </c>
    </row>
    <row r="88" ht="15.75" customHeight="1">
      <c r="A88" s="5" t="s">
        <v>522</v>
      </c>
      <c r="B88" s="5" t="s">
        <v>398</v>
      </c>
      <c r="C88" s="6">
        <v>46086.0</v>
      </c>
      <c r="D88" s="5" t="s">
        <v>79</v>
      </c>
      <c r="E88" s="5" t="s">
        <v>68</v>
      </c>
      <c r="F88" s="5" t="s">
        <v>59</v>
      </c>
      <c r="G88" s="5" t="s">
        <v>72</v>
      </c>
      <c r="H88" s="7">
        <v>3369.0</v>
      </c>
    </row>
    <row r="89" ht="15.75" customHeight="1">
      <c r="A89" s="5" t="s">
        <v>151</v>
      </c>
      <c r="B89" s="5" t="s">
        <v>424</v>
      </c>
      <c r="C89" s="6">
        <v>46095.0</v>
      </c>
      <c r="D89" s="5" t="s">
        <v>89</v>
      </c>
      <c r="E89" s="5" t="s">
        <v>80</v>
      </c>
      <c r="F89" s="5" t="s">
        <v>71</v>
      </c>
      <c r="G89" s="5" t="s">
        <v>83</v>
      </c>
      <c r="H89" s="7">
        <v>3506.0</v>
      </c>
    </row>
    <row r="90" ht="15.75" customHeight="1">
      <c r="A90" s="5" t="s">
        <v>308</v>
      </c>
      <c r="B90" s="5" t="s">
        <v>446</v>
      </c>
      <c r="C90" s="6">
        <v>46104.0</v>
      </c>
      <c r="D90" s="5" t="s">
        <v>100</v>
      </c>
      <c r="E90" s="5" t="s">
        <v>91</v>
      </c>
      <c r="F90" s="5" t="s">
        <v>42</v>
      </c>
      <c r="G90" s="5" t="s">
        <v>94</v>
      </c>
      <c r="H90" s="7">
        <v>0.0</v>
      </c>
    </row>
    <row r="91" ht="15.75" customHeight="1">
      <c r="A91" s="5" t="s">
        <v>460</v>
      </c>
      <c r="B91" s="5"/>
      <c r="C91" s="6">
        <v>46113.0</v>
      </c>
      <c r="D91" s="5" t="s">
        <v>110</v>
      </c>
      <c r="E91" s="5" t="s">
        <v>102</v>
      </c>
      <c r="F91" s="5" t="s">
        <v>50</v>
      </c>
      <c r="G91" s="5" t="s">
        <v>105</v>
      </c>
      <c r="H91" s="7">
        <v>3780.0</v>
      </c>
    </row>
    <row r="92" ht="15.75" customHeight="1">
      <c r="A92" s="5" t="s">
        <v>527</v>
      </c>
      <c r="B92" s="5" t="s">
        <v>43</v>
      </c>
      <c r="C92" s="6">
        <v>46122.0</v>
      </c>
      <c r="D92" s="5" t="s">
        <v>46</v>
      </c>
      <c r="E92" s="5" t="s">
        <v>51</v>
      </c>
      <c r="F92" s="5" t="s">
        <v>59</v>
      </c>
      <c r="G92" s="5" t="s">
        <v>55</v>
      </c>
      <c r="H92" s="7">
        <v>3917.0</v>
      </c>
    </row>
    <row r="93" ht="15.75" customHeight="1">
      <c r="A93" s="5" t="s">
        <v>95</v>
      </c>
      <c r="B93" s="5" t="s">
        <v>64</v>
      </c>
      <c r="C93" s="6">
        <v>46131.0</v>
      </c>
      <c r="D93" s="5" t="s">
        <v>65</v>
      </c>
      <c r="E93" s="5" t="s">
        <v>68</v>
      </c>
      <c r="F93" s="5" t="s">
        <v>71</v>
      </c>
      <c r="G93" s="5" t="s">
        <v>72</v>
      </c>
      <c r="H93" s="7">
        <v>4054.0</v>
      </c>
    </row>
    <row r="94" ht="15.75" customHeight="1">
      <c r="A94" s="5" t="s">
        <v>251</v>
      </c>
      <c r="B94" s="5" t="s">
        <v>77</v>
      </c>
      <c r="C94" s="6">
        <v>46140.0</v>
      </c>
      <c r="D94" s="5" t="s">
        <v>79</v>
      </c>
      <c r="E94" s="5" t="s">
        <v>80</v>
      </c>
      <c r="F94" s="5" t="s">
        <v>42</v>
      </c>
      <c r="G94" s="5" t="s">
        <v>83</v>
      </c>
      <c r="H94" s="7">
        <v>4191.0</v>
      </c>
    </row>
    <row r="95" ht="15.75" customHeight="1">
      <c r="A95" s="5" t="s">
        <v>415</v>
      </c>
      <c r="B95" s="5" t="s">
        <v>88</v>
      </c>
      <c r="C95" s="6">
        <v>46149.0</v>
      </c>
      <c r="D95" s="5" t="s">
        <v>89</v>
      </c>
      <c r="E95" s="5" t="s">
        <v>91</v>
      </c>
      <c r="F95" s="5" t="s">
        <v>50</v>
      </c>
      <c r="G95" s="5" t="s">
        <v>94</v>
      </c>
      <c r="H95" s="7">
        <v>0.0</v>
      </c>
    </row>
    <row r="96" ht="15.75" customHeight="1">
      <c r="A96" s="5" t="s">
        <v>507</v>
      </c>
      <c r="B96" s="5" t="s">
        <v>98</v>
      </c>
      <c r="C96" s="6">
        <v>46158.0</v>
      </c>
      <c r="D96" s="5" t="s">
        <v>100</v>
      </c>
      <c r="E96" s="5" t="s">
        <v>102</v>
      </c>
      <c r="F96" s="5" t="s">
        <v>59</v>
      </c>
      <c r="G96" s="5" t="s">
        <v>105</v>
      </c>
      <c r="H96" s="7">
        <v>4465.0</v>
      </c>
    </row>
    <row r="97" ht="15.75" customHeight="1">
      <c r="A97" s="5" t="s">
        <v>545</v>
      </c>
      <c r="B97" s="5"/>
      <c r="C97" s="6">
        <v>46167.0</v>
      </c>
      <c r="D97" s="5" t="s">
        <v>110</v>
      </c>
      <c r="E97" s="5" t="s">
        <v>51</v>
      </c>
      <c r="F97" s="5" t="s">
        <v>71</v>
      </c>
      <c r="G97" s="5" t="s">
        <v>55</v>
      </c>
      <c r="H97" s="7">
        <v>4602.0</v>
      </c>
    </row>
    <row r="98" ht="15.75" customHeight="1">
      <c r="A98" s="5" t="s">
        <v>200</v>
      </c>
      <c r="B98" s="5" t="s">
        <v>115</v>
      </c>
      <c r="C98" s="6">
        <v>46176.0</v>
      </c>
      <c r="D98" s="5" t="s">
        <v>46</v>
      </c>
      <c r="E98" s="5" t="s">
        <v>68</v>
      </c>
      <c r="F98" s="5" t="s">
        <v>42</v>
      </c>
      <c r="G98" s="5" t="s">
        <v>72</v>
      </c>
      <c r="H98" s="7">
        <v>4739.0</v>
      </c>
    </row>
    <row r="99" ht="15.75" customHeight="1">
      <c r="A99" s="5" t="s">
        <v>367</v>
      </c>
      <c r="B99" s="5" t="s">
        <v>123</v>
      </c>
      <c r="C99" s="6">
        <v>46185.0</v>
      </c>
      <c r="D99" s="5" t="s">
        <v>65</v>
      </c>
      <c r="E99" s="5" t="s">
        <v>80</v>
      </c>
      <c r="F99" s="5" t="s">
        <v>50</v>
      </c>
      <c r="G99" s="5" t="s">
        <v>83</v>
      </c>
      <c r="H99" s="7">
        <v>4876.0</v>
      </c>
    </row>
    <row r="100" ht="15.75" customHeight="1">
      <c r="A100" s="5" t="s">
        <v>488</v>
      </c>
      <c r="B100" s="5" t="s">
        <v>132</v>
      </c>
      <c r="C100" s="6">
        <v>46194.0</v>
      </c>
      <c r="D100" s="5" t="s">
        <v>79</v>
      </c>
      <c r="E100" s="5" t="s">
        <v>91</v>
      </c>
      <c r="F100" s="5" t="s">
        <v>59</v>
      </c>
      <c r="G100" s="5" t="s">
        <v>94</v>
      </c>
      <c r="H100" s="7">
        <v>0.0</v>
      </c>
    </row>
    <row r="101" ht="15.75" customHeight="1">
      <c r="A101" s="5" t="s">
        <v>547</v>
      </c>
      <c r="B101" s="5" t="s">
        <v>142</v>
      </c>
      <c r="C101" s="6">
        <v>46203.0</v>
      </c>
      <c r="D101" s="5" t="s">
        <v>89</v>
      </c>
      <c r="E101" s="5" t="s">
        <v>102</v>
      </c>
      <c r="F101" s="5" t="s">
        <v>71</v>
      </c>
      <c r="G101" s="5" t="s">
        <v>105</v>
      </c>
      <c r="H101" s="7">
        <v>5150.0</v>
      </c>
    </row>
    <row r="102" ht="15.75" customHeight="1">
      <c r="A102" s="5" t="s">
        <v>154</v>
      </c>
      <c r="B102" s="5" t="s">
        <v>148</v>
      </c>
      <c r="C102" s="6">
        <v>46212.0</v>
      </c>
      <c r="D102" s="5" t="s">
        <v>100</v>
      </c>
      <c r="E102" s="5" t="s">
        <v>51</v>
      </c>
      <c r="F102" s="5" t="s">
        <v>42</v>
      </c>
      <c r="G102" s="5" t="s">
        <v>55</v>
      </c>
      <c r="H102" s="7">
        <v>687.0</v>
      </c>
    </row>
    <row r="103" ht="15.75" customHeight="1">
      <c r="A103" s="5" t="s">
        <v>315</v>
      </c>
      <c r="B103" s="5"/>
      <c r="C103" s="6">
        <v>46221.0</v>
      </c>
      <c r="D103" s="5" t="s">
        <v>110</v>
      </c>
      <c r="E103" s="5" t="s">
        <v>68</v>
      </c>
      <c r="F103" s="5" t="s">
        <v>50</v>
      </c>
      <c r="G103" s="5" t="s">
        <v>72</v>
      </c>
      <c r="H103" s="7">
        <v>824.0</v>
      </c>
    </row>
    <row r="104" ht="15.75" customHeight="1">
      <c r="A104" s="5" t="s">
        <v>463</v>
      </c>
      <c r="B104" s="5" t="s">
        <v>53</v>
      </c>
      <c r="C104" s="6">
        <v>46230.0</v>
      </c>
      <c r="D104" s="5" t="s">
        <v>46</v>
      </c>
      <c r="E104" s="5" t="s">
        <v>80</v>
      </c>
      <c r="F104" s="5" t="s">
        <v>59</v>
      </c>
      <c r="G104" s="5" t="s">
        <v>83</v>
      </c>
      <c r="H104" s="7">
        <v>961.0</v>
      </c>
    </row>
    <row r="105" ht="15.75" customHeight="1">
      <c r="A105" s="5" t="s">
        <v>529</v>
      </c>
      <c r="B105" s="5" t="s">
        <v>122</v>
      </c>
      <c r="C105" s="6">
        <v>46239.0</v>
      </c>
      <c r="D105" s="5" t="s">
        <v>65</v>
      </c>
      <c r="E105" s="5" t="s">
        <v>91</v>
      </c>
      <c r="F105" s="5" t="s">
        <v>71</v>
      </c>
      <c r="G105" s="5" t="s">
        <v>94</v>
      </c>
      <c r="H105" s="7">
        <v>0.0</v>
      </c>
    </row>
    <row r="106" ht="15.75" customHeight="1">
      <c r="A106" s="5" t="s">
        <v>101</v>
      </c>
      <c r="B106" s="5" t="s">
        <v>169</v>
      </c>
      <c r="C106" s="6">
        <v>46248.0</v>
      </c>
      <c r="D106" s="5" t="s">
        <v>79</v>
      </c>
      <c r="E106" s="5" t="s">
        <v>102</v>
      </c>
      <c r="F106" s="5" t="s">
        <v>42</v>
      </c>
      <c r="G106" s="5" t="s">
        <v>105</v>
      </c>
      <c r="H106" s="7">
        <v>1235.0</v>
      </c>
    </row>
    <row r="107" ht="15.75" customHeight="1">
      <c r="A107" s="5" t="s">
        <v>255</v>
      </c>
      <c r="B107" s="5" t="s">
        <v>174</v>
      </c>
      <c r="C107" s="6">
        <v>46257.0</v>
      </c>
      <c r="D107" s="5" t="s">
        <v>89</v>
      </c>
      <c r="E107" s="5" t="s">
        <v>51</v>
      </c>
      <c r="F107" s="5" t="s">
        <v>50</v>
      </c>
      <c r="G107" s="5" t="s">
        <v>55</v>
      </c>
      <c r="H107" s="7">
        <v>1372.0</v>
      </c>
    </row>
    <row r="108" ht="15.75" customHeight="1">
      <c r="A108" s="5" t="s">
        <v>419</v>
      </c>
      <c r="B108" s="5" t="s">
        <v>182</v>
      </c>
      <c r="C108" s="6">
        <v>46026.0</v>
      </c>
      <c r="D108" s="5" t="s">
        <v>100</v>
      </c>
      <c r="E108" s="5" t="s">
        <v>68</v>
      </c>
      <c r="F108" s="5" t="s">
        <v>59</v>
      </c>
      <c r="G108" s="5" t="s">
        <v>72</v>
      </c>
      <c r="H108" s="7">
        <v>1509.0</v>
      </c>
    </row>
    <row r="109" ht="15.75" customHeight="1">
      <c r="A109" s="5" t="s">
        <v>509</v>
      </c>
      <c r="B109" s="5"/>
      <c r="C109" s="6">
        <v>46035.0</v>
      </c>
      <c r="D109" s="5" t="s">
        <v>110</v>
      </c>
      <c r="E109" s="5" t="s">
        <v>80</v>
      </c>
      <c r="F109" s="5" t="s">
        <v>71</v>
      </c>
      <c r="G109" s="5" t="s">
        <v>83</v>
      </c>
      <c r="H109" s="7">
        <v>1646.0</v>
      </c>
    </row>
    <row r="110" ht="15.75" customHeight="1">
      <c r="A110" s="5" t="s">
        <v>565</v>
      </c>
      <c r="B110" s="5" t="s">
        <v>195</v>
      </c>
      <c r="C110" s="6">
        <v>46044.0</v>
      </c>
      <c r="D110" s="5" t="s">
        <v>46</v>
      </c>
      <c r="E110" s="5" t="s">
        <v>91</v>
      </c>
      <c r="F110" s="5" t="s">
        <v>42</v>
      </c>
      <c r="G110" s="5" t="s">
        <v>94</v>
      </c>
      <c r="H110" s="7">
        <v>0.0</v>
      </c>
    </row>
    <row r="111" ht="15.75" customHeight="1">
      <c r="A111" s="5" t="s">
        <v>206</v>
      </c>
      <c r="B111" s="5" t="s">
        <v>203</v>
      </c>
      <c r="C111" s="6">
        <v>46053.0</v>
      </c>
      <c r="D111" s="5" t="s">
        <v>65</v>
      </c>
      <c r="E111" s="5" t="s">
        <v>102</v>
      </c>
      <c r="F111" s="5" t="s">
        <v>50</v>
      </c>
      <c r="G111" s="5" t="s">
        <v>105</v>
      </c>
      <c r="H111" s="7">
        <v>1920.0</v>
      </c>
    </row>
    <row r="112" ht="15.75" customHeight="1">
      <c r="A112" s="5" t="s">
        <v>372</v>
      </c>
      <c r="B112" s="5" t="s">
        <v>212</v>
      </c>
      <c r="C112" s="6">
        <v>46062.0</v>
      </c>
      <c r="D112" s="5" t="s">
        <v>79</v>
      </c>
      <c r="E112" s="5" t="s">
        <v>51</v>
      </c>
      <c r="F112" s="5" t="s">
        <v>59</v>
      </c>
      <c r="G112" s="5" t="s">
        <v>55</v>
      </c>
      <c r="H112" s="7">
        <v>2057.0</v>
      </c>
    </row>
    <row r="113" ht="15.75" customHeight="1">
      <c r="A113" s="5" t="s">
        <v>490</v>
      </c>
      <c r="B113" s="5" t="s">
        <v>220</v>
      </c>
      <c r="C113" s="6">
        <v>46071.0</v>
      </c>
      <c r="D113" s="5" t="s">
        <v>89</v>
      </c>
      <c r="E113" s="5" t="s">
        <v>68</v>
      </c>
      <c r="F113" s="5" t="s">
        <v>71</v>
      </c>
      <c r="G113" s="5" t="s">
        <v>72</v>
      </c>
      <c r="H113" s="7">
        <v>2194.0</v>
      </c>
    </row>
    <row r="114" ht="15.75" customHeight="1">
      <c r="A114" s="5" t="s">
        <v>549</v>
      </c>
      <c r="B114" s="5" t="s">
        <v>225</v>
      </c>
      <c r="C114" s="6">
        <v>46080.0</v>
      </c>
      <c r="D114" s="5" t="s">
        <v>100</v>
      </c>
      <c r="E114" s="5" t="s">
        <v>80</v>
      </c>
      <c r="F114" s="5" t="s">
        <v>42</v>
      </c>
      <c r="G114" s="5" t="s">
        <v>83</v>
      </c>
      <c r="H114" s="7">
        <v>2331.0</v>
      </c>
    </row>
    <row r="115" ht="15.75" customHeight="1">
      <c r="A115" s="5" t="s">
        <v>158</v>
      </c>
      <c r="B115" s="5"/>
      <c r="C115" s="6">
        <v>46089.0</v>
      </c>
      <c r="D115" s="5" t="s">
        <v>110</v>
      </c>
      <c r="E115" s="5" t="s">
        <v>91</v>
      </c>
      <c r="F115" s="5" t="s">
        <v>50</v>
      </c>
      <c r="G115" s="5" t="s">
        <v>94</v>
      </c>
      <c r="H115" s="7">
        <v>0.0</v>
      </c>
    </row>
    <row r="116" ht="15.75" customHeight="1">
      <c r="A116" s="5" t="s">
        <v>320</v>
      </c>
      <c r="B116" s="5" t="s">
        <v>238</v>
      </c>
      <c r="C116" s="6">
        <v>46098.0</v>
      </c>
      <c r="D116" s="5" t="s">
        <v>46</v>
      </c>
      <c r="E116" s="5" t="s">
        <v>102</v>
      </c>
      <c r="F116" s="5" t="s">
        <v>59</v>
      </c>
      <c r="G116" s="5" t="s">
        <v>105</v>
      </c>
      <c r="H116" s="7">
        <v>2605.0</v>
      </c>
    </row>
    <row r="117" ht="15.75" customHeight="1">
      <c r="A117" s="5" t="s">
        <v>467</v>
      </c>
      <c r="B117" s="5" t="s">
        <v>66</v>
      </c>
      <c r="C117" s="6">
        <v>46107.0</v>
      </c>
      <c r="D117" s="5" t="s">
        <v>65</v>
      </c>
      <c r="E117" s="5" t="s">
        <v>51</v>
      </c>
      <c r="F117" s="5" t="s">
        <v>71</v>
      </c>
      <c r="G117" s="5" t="s">
        <v>55</v>
      </c>
      <c r="H117" s="7">
        <v>2742.0</v>
      </c>
    </row>
    <row r="118" ht="15.75" customHeight="1">
      <c r="A118" s="5" t="s">
        <v>531</v>
      </c>
      <c r="B118" s="5" t="s">
        <v>127</v>
      </c>
      <c r="C118" s="6">
        <v>46116.0</v>
      </c>
      <c r="D118" s="5" t="s">
        <v>79</v>
      </c>
      <c r="E118" s="5" t="s">
        <v>68</v>
      </c>
      <c r="F118" s="5" t="s">
        <v>42</v>
      </c>
      <c r="G118" s="5" t="s">
        <v>72</v>
      </c>
      <c r="H118" s="7">
        <v>2879.0</v>
      </c>
    </row>
    <row r="119" ht="15.75" customHeight="1">
      <c r="A119" s="5" t="s">
        <v>108</v>
      </c>
      <c r="B119" s="5" t="s">
        <v>177</v>
      </c>
      <c r="C119" s="6">
        <v>46125.0</v>
      </c>
      <c r="D119" s="5" t="s">
        <v>89</v>
      </c>
      <c r="E119" s="5" t="s">
        <v>80</v>
      </c>
      <c r="F119" s="5" t="s">
        <v>50</v>
      </c>
      <c r="G119" s="5" t="s">
        <v>83</v>
      </c>
      <c r="H119" s="7">
        <v>3016.0</v>
      </c>
    </row>
    <row r="120" ht="15.75" customHeight="1">
      <c r="A120" s="5" t="s">
        <v>260</v>
      </c>
      <c r="B120" s="5" t="s">
        <v>217</v>
      </c>
      <c r="C120" s="6">
        <v>46134.0</v>
      </c>
      <c r="D120" s="5" t="s">
        <v>100</v>
      </c>
      <c r="E120" s="5" t="s">
        <v>91</v>
      </c>
      <c r="F120" s="5" t="s">
        <v>59</v>
      </c>
      <c r="G120" s="5" t="s">
        <v>94</v>
      </c>
      <c r="H120" s="7">
        <v>0.0</v>
      </c>
    </row>
    <row r="121" ht="15.75" customHeight="1">
      <c r="A121" s="5" t="s">
        <v>423</v>
      </c>
      <c r="B121" s="5"/>
      <c r="C121" s="6">
        <v>46143.0</v>
      </c>
      <c r="D121" s="5" t="s">
        <v>110</v>
      </c>
      <c r="E121" s="5" t="s">
        <v>102</v>
      </c>
      <c r="F121" s="5" t="s">
        <v>71</v>
      </c>
      <c r="G121" s="5" t="s">
        <v>105</v>
      </c>
      <c r="H121" s="7">
        <v>3290.0</v>
      </c>
    </row>
    <row r="122" ht="15.75" customHeight="1">
      <c r="A122" s="5" t="s">
        <v>512</v>
      </c>
      <c r="B122" s="5" t="s">
        <v>269</v>
      </c>
      <c r="C122" s="6">
        <v>46152.0</v>
      </c>
      <c r="D122" s="5" t="s">
        <v>46</v>
      </c>
      <c r="E122" s="5" t="s">
        <v>51</v>
      </c>
      <c r="F122" s="5" t="s">
        <v>42</v>
      </c>
      <c r="G122" s="5" t="s">
        <v>55</v>
      </c>
      <c r="H122" s="7">
        <v>3427.0</v>
      </c>
    </row>
    <row r="123" ht="15.75" customHeight="1">
      <c r="A123" s="5" t="s">
        <v>567</v>
      </c>
      <c r="B123" s="5" t="s">
        <v>274</v>
      </c>
      <c r="C123" s="6">
        <v>46161.0</v>
      </c>
      <c r="D123" s="5" t="s">
        <v>65</v>
      </c>
      <c r="E123" s="5" t="s">
        <v>68</v>
      </c>
      <c r="F123" s="5" t="s">
        <v>50</v>
      </c>
      <c r="G123" s="5" t="s">
        <v>72</v>
      </c>
      <c r="H123" s="7">
        <v>3564.0</v>
      </c>
    </row>
    <row r="124" ht="15.75" customHeight="1">
      <c r="A124" s="5" t="s">
        <v>209</v>
      </c>
      <c r="B124" s="5" t="s">
        <v>280</v>
      </c>
      <c r="C124" s="6">
        <v>46170.0</v>
      </c>
      <c r="D124" s="5" t="s">
        <v>79</v>
      </c>
      <c r="E124" s="5" t="s">
        <v>80</v>
      </c>
      <c r="F124" s="5" t="s">
        <v>59</v>
      </c>
      <c r="G124" s="5" t="s">
        <v>83</v>
      </c>
      <c r="H124" s="7">
        <v>3701.0</v>
      </c>
    </row>
    <row r="125" ht="15.75" customHeight="1">
      <c r="A125" s="5" t="s">
        <v>376</v>
      </c>
      <c r="B125" s="5" t="s">
        <v>286</v>
      </c>
      <c r="C125" s="6">
        <v>46179.0</v>
      </c>
      <c r="D125" s="5" t="s">
        <v>89</v>
      </c>
      <c r="E125" s="5" t="s">
        <v>91</v>
      </c>
      <c r="F125" s="5" t="s">
        <v>71</v>
      </c>
      <c r="G125" s="5" t="s">
        <v>94</v>
      </c>
      <c r="H125" s="7">
        <v>0.0</v>
      </c>
    </row>
    <row r="126" ht="15.75" customHeight="1">
      <c r="A126" s="5" t="s">
        <v>492</v>
      </c>
      <c r="B126" s="5" t="s">
        <v>292</v>
      </c>
      <c r="C126" s="6">
        <v>46188.0</v>
      </c>
      <c r="D126" s="5" t="s">
        <v>100</v>
      </c>
      <c r="E126" s="5" t="s">
        <v>102</v>
      </c>
      <c r="F126" s="5" t="s">
        <v>42</v>
      </c>
      <c r="G126" s="5" t="s">
        <v>105</v>
      </c>
      <c r="H126" s="7">
        <v>3975.0</v>
      </c>
    </row>
    <row r="127" ht="15.75" customHeight="1">
      <c r="A127" s="5" t="s">
        <v>551</v>
      </c>
      <c r="B127" s="5"/>
      <c r="C127" s="6">
        <v>46197.0</v>
      </c>
      <c r="D127" s="5" t="s">
        <v>110</v>
      </c>
      <c r="E127" s="5" t="s">
        <v>51</v>
      </c>
      <c r="F127" s="5" t="s">
        <v>50</v>
      </c>
      <c r="G127" s="5" t="s">
        <v>55</v>
      </c>
      <c r="H127" s="7">
        <v>4112.0</v>
      </c>
    </row>
    <row r="128" ht="15.75" customHeight="1">
      <c r="A128" s="5" t="s">
        <v>161</v>
      </c>
      <c r="B128" s="5" t="s">
        <v>306</v>
      </c>
      <c r="C128" s="6">
        <v>46206.0</v>
      </c>
      <c r="D128" s="5" t="s">
        <v>46</v>
      </c>
      <c r="E128" s="5" t="s">
        <v>68</v>
      </c>
      <c r="F128" s="5" t="s">
        <v>59</v>
      </c>
      <c r="G128" s="5" t="s">
        <v>72</v>
      </c>
      <c r="H128" s="7">
        <v>4249.0</v>
      </c>
    </row>
    <row r="129" ht="15.75" customHeight="1">
      <c r="A129" s="5" t="s">
        <v>328</v>
      </c>
      <c r="B129" s="5" t="s">
        <v>311</v>
      </c>
      <c r="C129" s="6">
        <v>46215.0</v>
      </c>
      <c r="D129" s="5" t="s">
        <v>65</v>
      </c>
      <c r="E129" s="5" t="s">
        <v>80</v>
      </c>
      <c r="F129" s="5" t="s">
        <v>71</v>
      </c>
      <c r="G129" s="5" t="s">
        <v>83</v>
      </c>
      <c r="H129" s="7">
        <v>4386.0</v>
      </c>
    </row>
    <row r="130" ht="15.75" customHeight="1">
      <c r="A130" s="5" t="s">
        <v>470</v>
      </c>
      <c r="B130" s="5" t="s">
        <v>78</v>
      </c>
      <c r="C130" s="6">
        <v>46224.0</v>
      </c>
      <c r="D130" s="5" t="s">
        <v>79</v>
      </c>
      <c r="E130" s="5" t="s">
        <v>91</v>
      </c>
      <c r="F130" s="5" t="s">
        <v>42</v>
      </c>
      <c r="G130" s="5" t="s">
        <v>94</v>
      </c>
      <c r="H130" s="7">
        <v>0.0</v>
      </c>
    </row>
    <row r="131" ht="15.75" customHeight="1">
      <c r="A131" s="5" t="s">
        <v>533</v>
      </c>
      <c r="B131" s="5" t="s">
        <v>135</v>
      </c>
      <c r="C131" s="6">
        <v>46233.0</v>
      </c>
      <c r="D131" s="5" t="s">
        <v>89</v>
      </c>
      <c r="E131" s="5" t="s">
        <v>102</v>
      </c>
      <c r="F131" s="5" t="s">
        <v>50</v>
      </c>
      <c r="G131" s="5" t="s">
        <v>105</v>
      </c>
      <c r="H131" s="7">
        <v>4660.0</v>
      </c>
    </row>
    <row r="132" ht="15.75" customHeight="1">
      <c r="A132" s="5" t="s">
        <v>113</v>
      </c>
      <c r="B132" s="5" t="s">
        <v>184</v>
      </c>
      <c r="C132" s="6">
        <v>46242.0</v>
      </c>
      <c r="D132" s="5" t="s">
        <v>100</v>
      </c>
      <c r="E132" s="5" t="s">
        <v>51</v>
      </c>
      <c r="F132" s="5" t="s">
        <v>59</v>
      </c>
      <c r="G132" s="5" t="s">
        <v>55</v>
      </c>
      <c r="H132" s="7">
        <v>4797.0</v>
      </c>
    </row>
    <row r="133" ht="15.75" customHeight="1">
      <c r="A133" s="5" t="s">
        <v>265</v>
      </c>
      <c r="B133" s="5"/>
      <c r="C133" s="6">
        <v>46251.0</v>
      </c>
      <c r="D133" s="5" t="s">
        <v>110</v>
      </c>
      <c r="E133" s="5" t="s">
        <v>68</v>
      </c>
      <c r="F133" s="5" t="s">
        <v>71</v>
      </c>
      <c r="G133" s="5" t="s">
        <v>72</v>
      </c>
      <c r="H133" s="7">
        <v>4934.0</v>
      </c>
    </row>
    <row r="134" ht="15.75" customHeight="1">
      <c r="A134" s="5" t="s">
        <v>427</v>
      </c>
      <c r="B134" s="5" t="s">
        <v>252</v>
      </c>
      <c r="C134" s="6">
        <v>46260.0</v>
      </c>
      <c r="D134" s="5" t="s">
        <v>46</v>
      </c>
      <c r="E134" s="5" t="s">
        <v>80</v>
      </c>
      <c r="F134" s="5" t="s">
        <v>42</v>
      </c>
      <c r="G134" s="5" t="s">
        <v>83</v>
      </c>
      <c r="H134" s="7">
        <v>5071.0</v>
      </c>
    </row>
    <row r="135" ht="15.75" customHeight="1">
      <c r="A135" s="5" t="s">
        <v>514</v>
      </c>
      <c r="B135" s="5" t="s">
        <v>282</v>
      </c>
      <c r="C135" s="6">
        <v>46029.0</v>
      </c>
      <c r="D135" s="5" t="s">
        <v>65</v>
      </c>
      <c r="E135" s="5" t="s">
        <v>91</v>
      </c>
      <c r="F135" s="5" t="s">
        <v>50</v>
      </c>
      <c r="G135" s="5" t="s">
        <v>94</v>
      </c>
      <c r="H135" s="7">
        <v>0.0</v>
      </c>
    </row>
    <row r="136" ht="15.75" customHeight="1">
      <c r="A136" s="5" t="s">
        <v>569</v>
      </c>
      <c r="B136" s="5" t="s">
        <v>312</v>
      </c>
      <c r="C136" s="6">
        <v>46038.0</v>
      </c>
      <c r="D136" s="5" t="s">
        <v>79</v>
      </c>
      <c r="E136" s="5" t="s">
        <v>102</v>
      </c>
      <c r="F136" s="5" t="s">
        <v>59</v>
      </c>
      <c r="G136" s="5" t="s">
        <v>105</v>
      </c>
      <c r="H136" s="7">
        <v>745.0</v>
      </c>
    </row>
    <row r="137" ht="15.75" customHeight="1">
      <c r="A137" s="5" t="s">
        <v>213</v>
      </c>
      <c r="B137" s="5" t="s">
        <v>337</v>
      </c>
      <c r="C137" s="6">
        <v>46047.0</v>
      </c>
      <c r="D137" s="5" t="s">
        <v>89</v>
      </c>
      <c r="E137" s="5" t="s">
        <v>51</v>
      </c>
      <c r="F137" s="5" t="s">
        <v>71</v>
      </c>
      <c r="G137" s="5" t="s">
        <v>55</v>
      </c>
      <c r="H137" s="7">
        <v>882.0</v>
      </c>
    </row>
    <row r="138" ht="15.75" customHeight="1">
      <c r="A138" s="5" t="s">
        <v>380</v>
      </c>
      <c r="B138" s="5" t="s">
        <v>359</v>
      </c>
      <c r="C138" s="6">
        <v>46056.0</v>
      </c>
      <c r="D138" s="5" t="s">
        <v>100</v>
      </c>
      <c r="E138" s="5" t="s">
        <v>68</v>
      </c>
      <c r="F138" s="5" t="s">
        <v>42</v>
      </c>
      <c r="G138" s="5" t="s">
        <v>72</v>
      </c>
      <c r="H138" s="7">
        <v>1019.0</v>
      </c>
    </row>
    <row r="139" ht="15.75" customHeight="1">
      <c r="A139" s="5" t="s">
        <v>494</v>
      </c>
      <c r="B139" s="5"/>
      <c r="C139" s="6">
        <v>46065.0</v>
      </c>
      <c r="D139" s="5" t="s">
        <v>110</v>
      </c>
      <c r="E139" s="5" t="s">
        <v>80</v>
      </c>
      <c r="F139" s="5" t="s">
        <v>50</v>
      </c>
      <c r="G139" s="5" t="s">
        <v>83</v>
      </c>
      <c r="H139" s="7">
        <v>1156.0</v>
      </c>
    </row>
    <row r="140" ht="15.75" customHeight="1">
      <c r="A140" s="5" t="s">
        <v>553</v>
      </c>
      <c r="B140" s="5" t="s">
        <v>377</v>
      </c>
      <c r="C140" s="6">
        <v>46074.0</v>
      </c>
      <c r="D140" s="5" t="s">
        <v>46</v>
      </c>
      <c r="E140" s="5" t="s">
        <v>91</v>
      </c>
      <c r="F140" s="5" t="s">
        <v>59</v>
      </c>
      <c r="G140" s="5" t="s">
        <v>94</v>
      </c>
      <c r="H140" s="7">
        <v>0.0</v>
      </c>
    </row>
    <row r="141" ht="15.75" customHeight="1">
      <c r="A141" s="5" t="s">
        <v>164</v>
      </c>
      <c r="B141" s="5" t="s">
        <v>384</v>
      </c>
      <c r="C141" s="6">
        <v>46083.0</v>
      </c>
      <c r="D141" s="5" t="s">
        <v>65</v>
      </c>
      <c r="E141" s="5" t="s">
        <v>102</v>
      </c>
      <c r="F141" s="5" t="s">
        <v>71</v>
      </c>
      <c r="G141" s="5" t="s">
        <v>105</v>
      </c>
      <c r="H141" s="7">
        <v>1430.0</v>
      </c>
    </row>
    <row r="142" ht="15.75" customHeight="1">
      <c r="A142" s="5" t="s">
        <v>331</v>
      </c>
      <c r="B142" s="5" t="s">
        <v>391</v>
      </c>
      <c r="C142" s="6">
        <v>46092.0</v>
      </c>
      <c r="D142" s="5" t="s">
        <v>79</v>
      </c>
      <c r="E142" s="5" t="s">
        <v>51</v>
      </c>
      <c r="F142" s="5" t="s">
        <v>42</v>
      </c>
      <c r="G142" s="5" t="s">
        <v>55</v>
      </c>
      <c r="H142" s="7">
        <v>1567.0</v>
      </c>
    </row>
    <row r="143" ht="15.75" customHeight="1">
      <c r="A143" s="5" t="s">
        <v>473</v>
      </c>
      <c r="B143" s="5" t="s">
        <v>90</v>
      </c>
      <c r="C143" s="6">
        <v>46101.0</v>
      </c>
      <c r="D143" s="5" t="s">
        <v>89</v>
      </c>
      <c r="E143" s="5" t="s">
        <v>68</v>
      </c>
      <c r="F143" s="5" t="s">
        <v>50</v>
      </c>
      <c r="G143" s="5" t="s">
        <v>72</v>
      </c>
      <c r="H143" s="7">
        <v>1704.0</v>
      </c>
    </row>
    <row r="144" ht="15.75" customHeight="1">
      <c r="A144" s="5" t="s">
        <v>535</v>
      </c>
      <c r="B144" s="5" t="s">
        <v>141</v>
      </c>
      <c r="C144" s="6">
        <v>46110.0</v>
      </c>
      <c r="D144" s="5" t="s">
        <v>100</v>
      </c>
      <c r="E144" s="5" t="s">
        <v>80</v>
      </c>
      <c r="F144" s="5" t="s">
        <v>59</v>
      </c>
      <c r="G144" s="5" t="s">
        <v>83</v>
      </c>
      <c r="H144" s="7">
        <v>1841.0</v>
      </c>
    </row>
    <row r="145" ht="15.75" customHeight="1">
      <c r="A145" s="5" t="s">
        <v>117</v>
      </c>
      <c r="B145" s="5"/>
      <c r="C145" s="6">
        <v>46119.0</v>
      </c>
      <c r="D145" s="5" t="s">
        <v>110</v>
      </c>
      <c r="E145" s="5" t="s">
        <v>91</v>
      </c>
      <c r="F145" s="5" t="s">
        <v>71</v>
      </c>
      <c r="G145" s="5" t="s">
        <v>94</v>
      </c>
      <c r="H145" s="7">
        <v>0.0</v>
      </c>
    </row>
    <row r="146" ht="15.75" customHeight="1">
      <c r="A146" s="5" t="s">
        <v>271</v>
      </c>
      <c r="B146" s="5" t="s">
        <v>226</v>
      </c>
      <c r="C146" s="6">
        <v>46128.0</v>
      </c>
      <c r="D146" s="5" t="s">
        <v>46</v>
      </c>
      <c r="E146" s="5" t="s">
        <v>102</v>
      </c>
      <c r="F146" s="5" t="s">
        <v>42</v>
      </c>
      <c r="G146" s="5" t="s">
        <v>105</v>
      </c>
      <c r="H146" s="7">
        <v>2115.0</v>
      </c>
    </row>
    <row r="147" ht="15.75" customHeight="1">
      <c r="A147" s="5" t="s">
        <v>430</v>
      </c>
      <c r="B147" s="5" t="s">
        <v>256</v>
      </c>
      <c r="C147" s="6">
        <v>46137.0</v>
      </c>
      <c r="D147" s="5" t="s">
        <v>65</v>
      </c>
      <c r="E147" s="5" t="s">
        <v>51</v>
      </c>
      <c r="F147" s="5" t="s">
        <v>50</v>
      </c>
      <c r="G147" s="5" t="s">
        <v>55</v>
      </c>
      <c r="H147" s="7">
        <v>2252.0</v>
      </c>
    </row>
    <row r="148" ht="15.75" customHeight="1">
      <c r="A148" s="5" t="s">
        <v>516</v>
      </c>
      <c r="B148" s="5" t="s">
        <v>287</v>
      </c>
      <c r="C148" s="6">
        <v>46146.0</v>
      </c>
      <c r="D148" s="5" t="s">
        <v>79</v>
      </c>
      <c r="E148" s="5" t="s">
        <v>68</v>
      </c>
      <c r="F148" s="5" t="s">
        <v>59</v>
      </c>
      <c r="G148" s="5" t="s">
        <v>72</v>
      </c>
      <c r="H148" s="7">
        <v>2389.0</v>
      </c>
    </row>
    <row r="149" ht="15.75" customHeight="1">
      <c r="A149" s="5" t="s">
        <v>571</v>
      </c>
      <c r="B149" s="5" t="s">
        <v>317</v>
      </c>
      <c r="C149" s="6">
        <v>46155.0</v>
      </c>
      <c r="D149" s="5" t="s">
        <v>89</v>
      </c>
      <c r="E149" s="5" t="s">
        <v>80</v>
      </c>
      <c r="F149" s="5" t="s">
        <v>71</v>
      </c>
      <c r="G149" s="5" t="s">
        <v>83</v>
      </c>
      <c r="H149" s="7">
        <v>2526.0</v>
      </c>
    </row>
    <row r="150" ht="15.75" customHeight="1">
      <c r="A150" s="5" t="s">
        <v>216</v>
      </c>
      <c r="B150" s="5" t="s">
        <v>341</v>
      </c>
      <c r="C150" s="6">
        <v>46164.0</v>
      </c>
      <c r="D150" s="5" t="s">
        <v>100</v>
      </c>
      <c r="E150" s="5" t="s">
        <v>91</v>
      </c>
      <c r="F150" s="5" t="s">
        <v>42</v>
      </c>
      <c r="G150" s="5" t="s">
        <v>94</v>
      </c>
      <c r="H150" s="7">
        <v>0.0</v>
      </c>
    </row>
    <row r="151" ht="15.75" customHeight="1">
      <c r="A151" s="5" t="s">
        <v>383</v>
      </c>
      <c r="B151" s="5"/>
      <c r="C151" s="6">
        <v>46173.0</v>
      </c>
      <c r="D151" s="5" t="s">
        <v>110</v>
      </c>
      <c r="E151" s="5" t="s">
        <v>102</v>
      </c>
      <c r="F151" s="5" t="s">
        <v>50</v>
      </c>
      <c r="G151" s="5" t="s">
        <v>105</v>
      </c>
      <c r="H151" s="7">
        <v>2800.0</v>
      </c>
    </row>
    <row r="152" ht="15.75" customHeight="1">
      <c r="A152" s="5" t="s">
        <v>496</v>
      </c>
      <c r="B152" s="5" t="s">
        <v>389</v>
      </c>
      <c r="C152" s="6">
        <v>46182.0</v>
      </c>
      <c r="D152" s="5" t="s">
        <v>46</v>
      </c>
      <c r="E152" s="5" t="s">
        <v>51</v>
      </c>
      <c r="F152" s="5" t="s">
        <v>59</v>
      </c>
      <c r="G152" s="5" t="s">
        <v>55</v>
      </c>
      <c r="H152" s="7">
        <v>2937.0</v>
      </c>
    </row>
    <row r="153" ht="15.75" customHeight="1">
      <c r="A153" s="5" t="s">
        <v>555</v>
      </c>
      <c r="B153" s="5" t="s">
        <v>416</v>
      </c>
      <c r="C153" s="6">
        <v>46191.0</v>
      </c>
      <c r="D153" s="5" t="s">
        <v>65</v>
      </c>
      <c r="E153" s="5" t="s">
        <v>68</v>
      </c>
      <c r="F153" s="5" t="s">
        <v>71</v>
      </c>
      <c r="G153" s="5" t="s">
        <v>72</v>
      </c>
      <c r="H153" s="7">
        <v>3074.0</v>
      </c>
    </row>
    <row r="154" ht="15.75" customHeight="1">
      <c r="A154" s="5" t="s">
        <v>170</v>
      </c>
      <c r="B154" s="5" t="s">
        <v>441</v>
      </c>
      <c r="C154" s="6">
        <v>46200.0</v>
      </c>
      <c r="D154" s="5" t="s">
        <v>79</v>
      </c>
      <c r="E154" s="5" t="s">
        <v>80</v>
      </c>
      <c r="F154" s="5" t="s">
        <v>42</v>
      </c>
      <c r="G154" s="5" t="s">
        <v>83</v>
      </c>
      <c r="H154" s="7">
        <v>3211.0</v>
      </c>
    </row>
    <row r="155" ht="15.75" customHeight="1">
      <c r="A155" s="5" t="s">
        <v>334</v>
      </c>
      <c r="B155" s="5" t="s">
        <v>450</v>
      </c>
      <c r="C155" s="6">
        <v>46209.0</v>
      </c>
      <c r="D155" s="5" t="s">
        <v>89</v>
      </c>
      <c r="E155" s="5" t="s">
        <v>91</v>
      </c>
      <c r="F155" s="5" t="s">
        <v>50</v>
      </c>
      <c r="G155" s="5" t="s">
        <v>94</v>
      </c>
      <c r="H155" s="7">
        <v>0.0</v>
      </c>
    </row>
    <row r="156" ht="15.75" customHeight="1">
      <c r="A156" s="5" t="s">
        <v>476</v>
      </c>
      <c r="B156" s="5" t="s">
        <v>103</v>
      </c>
      <c r="C156" s="6">
        <v>46218.0</v>
      </c>
      <c r="D156" s="5" t="s">
        <v>100</v>
      </c>
      <c r="E156" s="5" t="s">
        <v>102</v>
      </c>
      <c r="F156" s="5" t="s">
        <v>59</v>
      </c>
      <c r="G156" s="5" t="s">
        <v>105</v>
      </c>
      <c r="H156" s="7">
        <v>3485.0</v>
      </c>
    </row>
    <row r="157" ht="15.75" customHeight="1">
      <c r="A157" s="5" t="s">
        <v>537</v>
      </c>
      <c r="B157" s="5"/>
      <c r="C157" s="6">
        <v>46227.0</v>
      </c>
      <c r="D157" s="5" t="s">
        <v>110</v>
      </c>
      <c r="E157" s="5" t="s">
        <v>51</v>
      </c>
      <c r="F157" s="5" t="s">
        <v>71</v>
      </c>
      <c r="G157" s="5" t="s">
        <v>55</v>
      </c>
      <c r="H157" s="7">
        <v>3622.0</v>
      </c>
    </row>
    <row r="158" ht="15.75" customHeight="1">
      <c r="A158" s="5" t="s">
        <v>120</v>
      </c>
      <c r="B158" s="5" t="s">
        <v>194</v>
      </c>
      <c r="C158" s="6">
        <v>46236.0</v>
      </c>
      <c r="D158" s="5" t="s">
        <v>46</v>
      </c>
      <c r="E158" s="5" t="s">
        <v>68</v>
      </c>
      <c r="F158" s="5" t="s">
        <v>42</v>
      </c>
      <c r="G158" s="5" t="s">
        <v>72</v>
      </c>
      <c r="H158" s="7">
        <v>3759.0</v>
      </c>
    </row>
    <row r="159" ht="15.75" customHeight="1">
      <c r="A159" s="5" t="s">
        <v>275</v>
      </c>
      <c r="B159" s="5" t="s">
        <v>231</v>
      </c>
      <c r="C159" s="6">
        <v>46245.0</v>
      </c>
      <c r="D159" s="5" t="s">
        <v>65</v>
      </c>
      <c r="E159" s="5" t="s">
        <v>80</v>
      </c>
      <c r="F159" s="5" t="s">
        <v>50</v>
      </c>
      <c r="G159" s="5" t="s">
        <v>83</v>
      </c>
      <c r="H159" s="7">
        <v>3896.0</v>
      </c>
    </row>
    <row r="160" ht="15.75" customHeight="1">
      <c r="A160" s="5" t="s">
        <v>435</v>
      </c>
      <c r="B160" s="5" t="s">
        <v>261</v>
      </c>
      <c r="C160" s="6">
        <v>46254.0</v>
      </c>
      <c r="D160" s="5" t="s">
        <v>79</v>
      </c>
      <c r="E160" s="5" t="s">
        <v>91</v>
      </c>
      <c r="F160" s="5" t="s">
        <v>59</v>
      </c>
      <c r="G160" s="5" t="s">
        <v>94</v>
      </c>
      <c r="H160" s="7">
        <v>0.0</v>
      </c>
    </row>
    <row r="161" ht="15.75" customHeight="1">
      <c r="A161" s="5" t="s">
        <v>518</v>
      </c>
      <c r="B161" s="5" t="s">
        <v>293</v>
      </c>
      <c r="C161" s="6">
        <v>46023.0</v>
      </c>
      <c r="D161" s="5" t="s">
        <v>89</v>
      </c>
      <c r="E161" s="5" t="s">
        <v>102</v>
      </c>
      <c r="F161" s="5" t="s">
        <v>71</v>
      </c>
      <c r="G161" s="5" t="s">
        <v>105</v>
      </c>
      <c r="H161" s="7">
        <v>4170.0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0.38"/>
    <col customWidth="1" min="3" max="4" width="14.5"/>
    <col customWidth="1" min="5" max="5" width="9.38"/>
    <col customWidth="1" min="6" max="26" width="8.63"/>
  </cols>
  <sheetData>
    <row r="1">
      <c r="A1" s="4" t="s">
        <v>22</v>
      </c>
      <c r="B1" s="4" t="s">
        <v>21</v>
      </c>
      <c r="C1" s="4" t="s">
        <v>25</v>
      </c>
      <c r="D1" s="4" t="s">
        <v>27</v>
      </c>
      <c r="E1" s="4" t="s">
        <v>29</v>
      </c>
    </row>
    <row r="2">
      <c r="A2" s="5" t="s">
        <v>33</v>
      </c>
      <c r="B2" s="5" t="s">
        <v>36</v>
      </c>
      <c r="C2" s="6">
        <v>46058.0</v>
      </c>
      <c r="D2" s="5" t="s">
        <v>40</v>
      </c>
      <c r="E2" s="5" t="s">
        <v>42</v>
      </c>
    </row>
    <row r="3">
      <c r="A3" s="5" t="s">
        <v>45</v>
      </c>
      <c r="B3" s="5" t="s">
        <v>47</v>
      </c>
      <c r="C3" s="6">
        <v>46063.0</v>
      </c>
      <c r="D3" s="5" t="s">
        <v>49</v>
      </c>
      <c r="E3" s="5" t="s">
        <v>50</v>
      </c>
    </row>
    <row r="4">
      <c r="A4" s="5" t="s">
        <v>52</v>
      </c>
      <c r="B4" s="5" t="s">
        <v>54</v>
      </c>
      <c r="C4" s="6">
        <v>46068.0</v>
      </c>
      <c r="D4" s="5" t="s">
        <v>57</v>
      </c>
      <c r="E4" s="5" t="s">
        <v>59</v>
      </c>
    </row>
    <row r="5">
      <c r="A5" s="5" t="s">
        <v>61</v>
      </c>
      <c r="B5" s="5" t="s">
        <v>63</v>
      </c>
      <c r="C5" s="6">
        <v>46073.0</v>
      </c>
      <c r="D5" s="5" t="s">
        <v>67</v>
      </c>
      <c r="E5" s="5" t="s">
        <v>71</v>
      </c>
    </row>
    <row r="6">
      <c r="A6" s="5" t="s">
        <v>74</v>
      </c>
      <c r="B6" s="5" t="s">
        <v>76</v>
      </c>
      <c r="C6" s="6">
        <v>46078.0</v>
      </c>
      <c r="D6" s="5" t="s">
        <v>40</v>
      </c>
      <c r="E6" s="5" t="s">
        <v>42</v>
      </c>
    </row>
    <row r="7">
      <c r="A7" s="5" t="s">
        <v>85</v>
      </c>
      <c r="B7" s="5" t="s">
        <v>87</v>
      </c>
      <c r="C7" s="6">
        <v>46083.0</v>
      </c>
      <c r="D7" s="5" t="s">
        <v>49</v>
      </c>
      <c r="E7" s="5" t="s">
        <v>50</v>
      </c>
    </row>
    <row r="8">
      <c r="A8" s="5" t="s">
        <v>93</v>
      </c>
      <c r="B8" s="5" t="s">
        <v>95</v>
      </c>
      <c r="C8" s="6">
        <v>46088.0</v>
      </c>
      <c r="D8" s="5" t="s">
        <v>57</v>
      </c>
      <c r="E8" s="5" t="s">
        <v>59</v>
      </c>
    </row>
    <row r="9">
      <c r="A9" s="5" t="s">
        <v>99</v>
      </c>
      <c r="B9" s="5" t="s">
        <v>101</v>
      </c>
      <c r="C9" s="6">
        <v>46093.0</v>
      </c>
      <c r="D9" s="5" t="s">
        <v>67</v>
      </c>
      <c r="E9" s="5" t="s">
        <v>71</v>
      </c>
    </row>
    <row r="10">
      <c r="A10" s="5" t="s">
        <v>106</v>
      </c>
      <c r="B10" s="5" t="s">
        <v>108</v>
      </c>
      <c r="C10" s="6">
        <v>46098.0</v>
      </c>
      <c r="D10" s="5" t="s">
        <v>40</v>
      </c>
      <c r="E10" s="5" t="s">
        <v>42</v>
      </c>
    </row>
    <row r="11">
      <c r="A11" s="5" t="s">
        <v>112</v>
      </c>
      <c r="B11" s="5" t="s">
        <v>113</v>
      </c>
      <c r="C11" s="6">
        <v>46103.0</v>
      </c>
      <c r="D11" s="5" t="s">
        <v>49</v>
      </c>
      <c r="E11" s="5" t="s">
        <v>50</v>
      </c>
    </row>
    <row r="12">
      <c r="A12" s="5" t="s">
        <v>116</v>
      </c>
      <c r="B12" s="5" t="s">
        <v>117</v>
      </c>
      <c r="C12" s="6">
        <v>46108.0</v>
      </c>
      <c r="D12" s="5" t="s">
        <v>57</v>
      </c>
      <c r="E12" s="5" t="s">
        <v>59</v>
      </c>
    </row>
    <row r="13">
      <c r="A13" s="5" t="s">
        <v>119</v>
      </c>
      <c r="B13" s="5" t="s">
        <v>120</v>
      </c>
      <c r="C13" s="6">
        <v>46113.0</v>
      </c>
      <c r="D13" s="5" t="s">
        <v>67</v>
      </c>
      <c r="E13" s="5" t="s">
        <v>71</v>
      </c>
    </row>
    <row r="14">
      <c r="A14" s="5" t="s">
        <v>125</v>
      </c>
      <c r="B14" s="5" t="s">
        <v>126</v>
      </c>
      <c r="C14" s="6">
        <v>46118.0</v>
      </c>
      <c r="D14" s="5" t="s">
        <v>40</v>
      </c>
      <c r="E14" s="5" t="s">
        <v>42</v>
      </c>
    </row>
    <row r="15">
      <c r="A15" s="5" t="s">
        <v>128</v>
      </c>
      <c r="B15" s="5" t="s">
        <v>129</v>
      </c>
      <c r="C15" s="6">
        <v>46123.0</v>
      </c>
      <c r="D15" s="5" t="s">
        <v>49</v>
      </c>
      <c r="E15" s="5" t="s">
        <v>50</v>
      </c>
    </row>
    <row r="16">
      <c r="A16" s="5" t="s">
        <v>134</v>
      </c>
      <c r="B16" s="5" t="s">
        <v>136</v>
      </c>
      <c r="C16" s="6">
        <v>46128.0</v>
      </c>
      <c r="D16" s="5" t="s">
        <v>57</v>
      </c>
      <c r="E16" s="5" t="s">
        <v>59</v>
      </c>
    </row>
    <row r="17">
      <c r="A17" s="5" t="s">
        <v>139</v>
      </c>
      <c r="B17" s="5" t="s">
        <v>140</v>
      </c>
      <c r="C17" s="6">
        <v>46133.0</v>
      </c>
      <c r="D17" s="5" t="s">
        <v>67</v>
      </c>
      <c r="E17" s="5" t="s">
        <v>71</v>
      </c>
    </row>
    <row r="18">
      <c r="A18" s="5" t="s">
        <v>143</v>
      </c>
      <c r="B18" s="5" t="s">
        <v>144</v>
      </c>
      <c r="C18" s="6">
        <v>46138.0</v>
      </c>
      <c r="D18" s="5" t="s">
        <v>40</v>
      </c>
      <c r="E18" s="5" t="s">
        <v>42</v>
      </c>
    </row>
    <row r="19">
      <c r="A19" s="5" t="s">
        <v>146</v>
      </c>
      <c r="B19" s="5" t="s">
        <v>147</v>
      </c>
      <c r="C19" s="6">
        <v>46143.0</v>
      </c>
      <c r="D19" s="5" t="s">
        <v>49</v>
      </c>
      <c r="E19" s="5" t="s">
        <v>50</v>
      </c>
    </row>
    <row r="20">
      <c r="A20" s="5" t="s">
        <v>150</v>
      </c>
      <c r="B20" s="5" t="s">
        <v>151</v>
      </c>
      <c r="C20" s="6">
        <v>46148.0</v>
      </c>
      <c r="D20" s="5" t="s">
        <v>57</v>
      </c>
      <c r="E20" s="5" t="s">
        <v>59</v>
      </c>
    </row>
    <row r="21" ht="15.75" customHeight="1">
      <c r="A21" s="5" t="s">
        <v>153</v>
      </c>
      <c r="B21" s="5" t="s">
        <v>154</v>
      </c>
      <c r="C21" s="6">
        <v>46153.0</v>
      </c>
      <c r="D21" s="5" t="s">
        <v>67</v>
      </c>
      <c r="E21" s="5" t="s">
        <v>71</v>
      </c>
    </row>
    <row r="22" ht="15.75" customHeight="1">
      <c r="A22" s="5" t="s">
        <v>156</v>
      </c>
      <c r="B22" s="5" t="s">
        <v>158</v>
      </c>
      <c r="C22" s="6">
        <v>46158.0</v>
      </c>
      <c r="D22" s="5" t="s">
        <v>40</v>
      </c>
      <c r="E22" s="5" t="s">
        <v>42</v>
      </c>
    </row>
    <row r="23" ht="15.75" customHeight="1">
      <c r="A23" s="5" t="s">
        <v>160</v>
      </c>
      <c r="B23" s="5" t="s">
        <v>161</v>
      </c>
      <c r="C23" s="6">
        <v>46163.0</v>
      </c>
      <c r="D23" s="5" t="s">
        <v>49</v>
      </c>
      <c r="E23" s="5" t="s">
        <v>50</v>
      </c>
    </row>
    <row r="24" ht="15.75" customHeight="1">
      <c r="A24" s="5" t="s">
        <v>163</v>
      </c>
      <c r="B24" s="5" t="s">
        <v>164</v>
      </c>
      <c r="C24" s="6">
        <v>46168.0</v>
      </c>
      <c r="D24" s="5" t="s">
        <v>57</v>
      </c>
      <c r="E24" s="5" t="s">
        <v>59</v>
      </c>
    </row>
    <row r="25" ht="15.75" customHeight="1">
      <c r="A25" s="5" t="s">
        <v>168</v>
      </c>
      <c r="B25" s="5" t="s">
        <v>170</v>
      </c>
      <c r="C25" s="6">
        <v>46173.0</v>
      </c>
      <c r="D25" s="5" t="s">
        <v>67</v>
      </c>
      <c r="E25" s="5" t="s">
        <v>71</v>
      </c>
    </row>
    <row r="26" ht="15.75" customHeight="1">
      <c r="A26" s="5" t="s">
        <v>171</v>
      </c>
      <c r="B26" s="5" t="s">
        <v>107</v>
      </c>
      <c r="C26" s="6">
        <v>46178.0</v>
      </c>
      <c r="D26" s="5" t="s">
        <v>40</v>
      </c>
      <c r="E26" s="5" t="s">
        <v>42</v>
      </c>
    </row>
    <row r="27" ht="15.75" customHeight="1">
      <c r="A27" s="5" t="s">
        <v>175</v>
      </c>
      <c r="B27" s="5" t="s">
        <v>176</v>
      </c>
      <c r="C27" s="6">
        <v>46183.0</v>
      </c>
      <c r="D27" s="5" t="s">
        <v>49</v>
      </c>
      <c r="E27" s="5" t="s">
        <v>50</v>
      </c>
    </row>
    <row r="28" ht="15.75" customHeight="1">
      <c r="A28" s="5" t="s">
        <v>179</v>
      </c>
      <c r="B28" s="5" t="s">
        <v>180</v>
      </c>
      <c r="C28" s="6">
        <v>46188.0</v>
      </c>
      <c r="D28" s="5" t="s">
        <v>57</v>
      </c>
      <c r="E28" s="5" t="s">
        <v>59</v>
      </c>
    </row>
    <row r="29" ht="15.75" customHeight="1">
      <c r="A29" s="5" t="s">
        <v>183</v>
      </c>
      <c r="B29" s="5" t="s">
        <v>185</v>
      </c>
      <c r="C29" s="6">
        <v>46193.0</v>
      </c>
      <c r="D29" s="5" t="s">
        <v>67</v>
      </c>
      <c r="E29" s="5" t="s">
        <v>71</v>
      </c>
    </row>
    <row r="30" ht="15.75" customHeight="1">
      <c r="A30" s="5" t="s">
        <v>187</v>
      </c>
      <c r="B30" s="5" t="s">
        <v>188</v>
      </c>
      <c r="C30" s="6">
        <v>46198.0</v>
      </c>
      <c r="D30" s="5" t="s">
        <v>40</v>
      </c>
      <c r="E30" s="5" t="s">
        <v>42</v>
      </c>
    </row>
    <row r="31" ht="15.75" customHeight="1">
      <c r="A31" s="5" t="s">
        <v>192</v>
      </c>
      <c r="B31" s="5" t="s">
        <v>193</v>
      </c>
      <c r="C31" s="6">
        <v>46203.0</v>
      </c>
      <c r="D31" s="5" t="s">
        <v>49</v>
      </c>
      <c r="E31" s="5" t="s">
        <v>50</v>
      </c>
    </row>
    <row r="32" ht="15.75" customHeight="1">
      <c r="A32" s="5" t="s">
        <v>197</v>
      </c>
      <c r="B32" s="5" t="s">
        <v>198</v>
      </c>
      <c r="C32" s="6">
        <v>46208.0</v>
      </c>
      <c r="D32" s="5" t="s">
        <v>57</v>
      </c>
      <c r="E32" s="5" t="s">
        <v>59</v>
      </c>
    </row>
    <row r="33" ht="15.75" customHeight="1">
      <c r="A33" s="5" t="s">
        <v>199</v>
      </c>
      <c r="B33" s="5" t="s">
        <v>200</v>
      </c>
      <c r="C33" s="6">
        <v>46213.0</v>
      </c>
      <c r="D33" s="5" t="s">
        <v>67</v>
      </c>
      <c r="E33" s="5" t="s">
        <v>71</v>
      </c>
    </row>
    <row r="34" ht="15.75" customHeight="1">
      <c r="A34" s="5" t="s">
        <v>205</v>
      </c>
      <c r="B34" s="5" t="s">
        <v>206</v>
      </c>
      <c r="C34" s="6">
        <v>46218.0</v>
      </c>
      <c r="D34" s="5" t="s">
        <v>40</v>
      </c>
      <c r="E34" s="5" t="s">
        <v>42</v>
      </c>
    </row>
    <row r="35" ht="15.75" customHeight="1">
      <c r="A35" s="5" t="s">
        <v>207</v>
      </c>
      <c r="B35" s="5" t="s">
        <v>209</v>
      </c>
      <c r="C35" s="6">
        <v>46223.0</v>
      </c>
      <c r="D35" s="5" t="s">
        <v>49</v>
      </c>
      <c r="E35" s="5" t="s">
        <v>50</v>
      </c>
    </row>
    <row r="36" ht="15.75" customHeight="1">
      <c r="A36" s="5" t="s">
        <v>211</v>
      </c>
      <c r="B36" s="5" t="s">
        <v>213</v>
      </c>
      <c r="C36" s="6">
        <v>46228.0</v>
      </c>
      <c r="D36" s="5" t="s">
        <v>57</v>
      </c>
      <c r="E36" s="5" t="s">
        <v>59</v>
      </c>
    </row>
    <row r="37" ht="15.75" customHeight="1">
      <c r="A37" s="5" t="s">
        <v>215</v>
      </c>
      <c r="B37" s="5" t="s">
        <v>216</v>
      </c>
      <c r="C37" s="6">
        <v>46233.0</v>
      </c>
      <c r="D37" s="5" t="s">
        <v>67</v>
      </c>
      <c r="E37" s="5" t="s">
        <v>71</v>
      </c>
    </row>
    <row r="38" ht="15.75" customHeight="1">
      <c r="A38" s="5" t="s">
        <v>221</v>
      </c>
      <c r="B38" s="5" t="s">
        <v>62</v>
      </c>
      <c r="C38" s="6">
        <v>46238.0</v>
      </c>
      <c r="D38" s="5" t="s">
        <v>40</v>
      </c>
      <c r="E38" s="5" t="s">
        <v>42</v>
      </c>
    </row>
    <row r="39" ht="15.75" customHeight="1">
      <c r="A39" s="5" t="s">
        <v>224</v>
      </c>
      <c r="B39" s="5" t="s">
        <v>167</v>
      </c>
      <c r="C39" s="6">
        <v>46243.0</v>
      </c>
      <c r="D39" s="5" t="s">
        <v>49</v>
      </c>
      <c r="E39" s="5" t="s">
        <v>50</v>
      </c>
    </row>
    <row r="40" ht="15.75" customHeight="1">
      <c r="A40" s="5" t="s">
        <v>228</v>
      </c>
      <c r="B40" s="5" t="s">
        <v>229</v>
      </c>
      <c r="C40" s="6">
        <v>46248.0</v>
      </c>
      <c r="D40" s="5" t="s">
        <v>57</v>
      </c>
      <c r="E40" s="5" t="s">
        <v>59</v>
      </c>
    </row>
    <row r="41" ht="15.75" customHeight="1">
      <c r="A41" s="5" t="s">
        <v>233</v>
      </c>
      <c r="B41" s="5" t="s">
        <v>234</v>
      </c>
      <c r="C41" s="6">
        <v>46253.0</v>
      </c>
      <c r="D41" s="5" t="s">
        <v>67</v>
      </c>
      <c r="E41" s="5" t="s">
        <v>71</v>
      </c>
    </row>
    <row r="42" ht="15.75" customHeight="1">
      <c r="A42" s="5" t="s">
        <v>239</v>
      </c>
      <c r="B42" s="5" t="s">
        <v>240</v>
      </c>
      <c r="C42" s="6">
        <v>46258.0</v>
      </c>
      <c r="D42" s="5" t="s">
        <v>40</v>
      </c>
      <c r="E42" s="5" t="s">
        <v>42</v>
      </c>
    </row>
    <row r="43" ht="15.75" customHeight="1">
      <c r="A43" s="5" t="s">
        <v>242</v>
      </c>
      <c r="B43" s="5" t="s">
        <v>244</v>
      </c>
      <c r="C43" s="6">
        <v>46263.0</v>
      </c>
      <c r="D43" s="5" t="s">
        <v>49</v>
      </c>
      <c r="E43" s="5" t="s">
        <v>50</v>
      </c>
    </row>
    <row r="44" ht="15.75" customHeight="1">
      <c r="A44" s="5" t="s">
        <v>246</v>
      </c>
      <c r="B44" s="5" t="s">
        <v>247</v>
      </c>
      <c r="C44" s="6">
        <v>46023.0</v>
      </c>
      <c r="D44" s="5" t="s">
        <v>57</v>
      </c>
      <c r="E44" s="5" t="s">
        <v>59</v>
      </c>
    </row>
    <row r="45" ht="15.75" customHeight="1">
      <c r="A45" s="5" t="s">
        <v>250</v>
      </c>
      <c r="B45" s="5" t="s">
        <v>251</v>
      </c>
      <c r="C45" s="6">
        <v>46028.0</v>
      </c>
      <c r="D45" s="5" t="s">
        <v>67</v>
      </c>
      <c r="E45" s="5" t="s">
        <v>71</v>
      </c>
    </row>
    <row r="46" ht="15.75" customHeight="1">
      <c r="A46" s="5" t="s">
        <v>254</v>
      </c>
      <c r="B46" s="5" t="s">
        <v>255</v>
      </c>
      <c r="C46" s="6">
        <v>46033.0</v>
      </c>
      <c r="D46" s="5" t="s">
        <v>40</v>
      </c>
      <c r="E46" s="5" t="s">
        <v>42</v>
      </c>
    </row>
    <row r="47" ht="15.75" customHeight="1">
      <c r="A47" s="5" t="s">
        <v>259</v>
      </c>
      <c r="B47" s="5" t="s">
        <v>260</v>
      </c>
      <c r="C47" s="6">
        <v>46038.0</v>
      </c>
      <c r="D47" s="5" t="s">
        <v>49</v>
      </c>
      <c r="E47" s="5" t="s">
        <v>50</v>
      </c>
    </row>
    <row r="48" ht="15.75" customHeight="1">
      <c r="A48" s="5" t="s">
        <v>263</v>
      </c>
      <c r="B48" s="5" t="s">
        <v>265</v>
      </c>
      <c r="C48" s="6">
        <v>46043.0</v>
      </c>
      <c r="D48" s="5" t="s">
        <v>57</v>
      </c>
      <c r="E48" s="5" t="s">
        <v>59</v>
      </c>
    </row>
    <row r="49" ht="15.75" customHeight="1">
      <c r="A49" s="5" t="s">
        <v>270</v>
      </c>
      <c r="B49" s="5" t="s">
        <v>271</v>
      </c>
      <c r="C49" s="6">
        <v>46048.0</v>
      </c>
      <c r="D49" s="5" t="s">
        <v>67</v>
      </c>
      <c r="E49" s="5" t="s">
        <v>71</v>
      </c>
    </row>
    <row r="50" ht="15.75" customHeight="1">
      <c r="A50" s="5" t="s">
        <v>273</v>
      </c>
      <c r="B50" s="5" t="s">
        <v>275</v>
      </c>
      <c r="C50" s="6">
        <v>46053.0</v>
      </c>
      <c r="D50" s="5" t="s">
        <v>40</v>
      </c>
      <c r="E50" s="5" t="s">
        <v>42</v>
      </c>
    </row>
    <row r="51" ht="15.75" customHeight="1">
      <c r="A51" s="5" t="s">
        <v>278</v>
      </c>
      <c r="B51" s="5" t="s">
        <v>145</v>
      </c>
      <c r="C51" s="6">
        <v>46058.0</v>
      </c>
      <c r="D51" s="5" t="s">
        <v>49</v>
      </c>
      <c r="E51" s="5" t="s">
        <v>50</v>
      </c>
    </row>
    <row r="52" ht="15.75" customHeight="1">
      <c r="A52" s="5" t="s">
        <v>283</v>
      </c>
      <c r="B52" s="5" t="s">
        <v>230</v>
      </c>
      <c r="C52" s="6">
        <v>46063.0</v>
      </c>
      <c r="D52" s="5" t="s">
        <v>57</v>
      </c>
      <c r="E52" s="5" t="s">
        <v>59</v>
      </c>
    </row>
    <row r="53" ht="15.75" customHeight="1">
      <c r="A53" s="5" t="s">
        <v>289</v>
      </c>
      <c r="B53" s="5" t="s">
        <v>290</v>
      </c>
      <c r="C53" s="6">
        <v>46068.0</v>
      </c>
      <c r="D53" s="5" t="s">
        <v>67</v>
      </c>
      <c r="E53" s="5" t="s">
        <v>71</v>
      </c>
    </row>
    <row r="54" ht="15.75" customHeight="1">
      <c r="A54" s="5" t="s">
        <v>295</v>
      </c>
      <c r="B54" s="5" t="s">
        <v>296</v>
      </c>
      <c r="C54" s="6">
        <v>46073.0</v>
      </c>
      <c r="D54" s="5" t="s">
        <v>40</v>
      </c>
      <c r="E54" s="5" t="s">
        <v>42</v>
      </c>
    </row>
    <row r="55" ht="15.75" customHeight="1">
      <c r="A55" s="5" t="s">
        <v>299</v>
      </c>
      <c r="B55" s="5" t="s">
        <v>300</v>
      </c>
      <c r="C55" s="6">
        <v>46078.0</v>
      </c>
      <c r="D55" s="5" t="s">
        <v>49</v>
      </c>
      <c r="E55" s="5" t="s">
        <v>50</v>
      </c>
    </row>
    <row r="56" ht="15.75" customHeight="1">
      <c r="A56" s="5" t="s">
        <v>303</v>
      </c>
      <c r="B56" s="5" t="s">
        <v>304</v>
      </c>
      <c r="C56" s="6">
        <v>46083.0</v>
      </c>
      <c r="D56" s="5" t="s">
        <v>57</v>
      </c>
      <c r="E56" s="5" t="s">
        <v>59</v>
      </c>
    </row>
    <row r="57" ht="15.75" customHeight="1">
      <c r="A57" s="5" t="s">
        <v>307</v>
      </c>
      <c r="B57" s="5" t="s">
        <v>308</v>
      </c>
      <c r="C57" s="6">
        <v>46088.0</v>
      </c>
      <c r="D57" s="5" t="s">
        <v>67</v>
      </c>
      <c r="E57" s="5" t="s">
        <v>71</v>
      </c>
    </row>
    <row r="58" ht="15.75" customHeight="1">
      <c r="A58" s="5" t="s">
        <v>313</v>
      </c>
      <c r="B58" s="5" t="s">
        <v>315</v>
      </c>
      <c r="C58" s="6">
        <v>46093.0</v>
      </c>
      <c r="D58" s="5" t="s">
        <v>40</v>
      </c>
      <c r="E58" s="5" t="s">
        <v>42</v>
      </c>
    </row>
    <row r="59" ht="15.75" customHeight="1">
      <c r="A59" s="5" t="s">
        <v>319</v>
      </c>
      <c r="B59" s="5" t="s">
        <v>320</v>
      </c>
      <c r="C59" s="6">
        <v>46098.0</v>
      </c>
      <c r="D59" s="5" t="s">
        <v>49</v>
      </c>
      <c r="E59" s="5" t="s">
        <v>50</v>
      </c>
    </row>
    <row r="60" ht="15.75" customHeight="1">
      <c r="A60" s="5" t="s">
        <v>327</v>
      </c>
      <c r="B60" s="5" t="s">
        <v>328</v>
      </c>
      <c r="C60" s="6">
        <v>46103.0</v>
      </c>
      <c r="D60" s="5" t="s">
        <v>57</v>
      </c>
      <c r="E60" s="5" t="s">
        <v>59</v>
      </c>
    </row>
    <row r="61" ht="15.75" customHeight="1">
      <c r="A61" s="5" t="s">
        <v>330</v>
      </c>
      <c r="B61" s="5" t="s">
        <v>331</v>
      </c>
      <c r="C61" s="6">
        <v>46108.0</v>
      </c>
      <c r="D61" s="5" t="s">
        <v>67</v>
      </c>
      <c r="E61" s="5" t="s">
        <v>71</v>
      </c>
    </row>
    <row r="62" ht="15.75" customHeight="1">
      <c r="A62" s="5" t="s">
        <v>333</v>
      </c>
      <c r="B62" s="5" t="s">
        <v>334</v>
      </c>
      <c r="C62" s="6">
        <v>46113.0</v>
      </c>
      <c r="D62" s="5" t="s">
        <v>40</v>
      </c>
      <c r="E62" s="5" t="s">
        <v>42</v>
      </c>
    </row>
    <row r="63" ht="15.75" customHeight="1">
      <c r="A63" s="5" t="s">
        <v>336</v>
      </c>
      <c r="B63" s="5" t="s">
        <v>114</v>
      </c>
      <c r="C63" s="6">
        <v>46118.0</v>
      </c>
      <c r="D63" s="5" t="s">
        <v>49</v>
      </c>
      <c r="E63" s="5" t="s">
        <v>50</v>
      </c>
    </row>
    <row r="64" ht="15.75" customHeight="1">
      <c r="A64" s="5" t="s">
        <v>340</v>
      </c>
      <c r="B64" s="5" t="s">
        <v>201</v>
      </c>
      <c r="C64" s="6">
        <v>46123.0</v>
      </c>
      <c r="D64" s="5" t="s">
        <v>57</v>
      </c>
      <c r="E64" s="5" t="s">
        <v>59</v>
      </c>
    </row>
    <row r="65" ht="15.75" customHeight="1">
      <c r="A65" s="5" t="s">
        <v>343</v>
      </c>
      <c r="B65" s="5" t="s">
        <v>279</v>
      </c>
      <c r="C65" s="6">
        <v>46128.0</v>
      </c>
      <c r="D65" s="5" t="s">
        <v>67</v>
      </c>
      <c r="E65" s="5" t="s">
        <v>71</v>
      </c>
    </row>
    <row r="66" ht="15.75" customHeight="1">
      <c r="A66" s="5" t="s">
        <v>350</v>
      </c>
      <c r="B66" s="5" t="s">
        <v>351</v>
      </c>
      <c r="C66" s="6">
        <v>46133.0</v>
      </c>
      <c r="D66" s="5" t="s">
        <v>40</v>
      </c>
      <c r="E66" s="5" t="s">
        <v>42</v>
      </c>
    </row>
    <row r="67" ht="15.75" customHeight="1">
      <c r="A67" s="5" t="s">
        <v>353</v>
      </c>
      <c r="B67" s="5" t="s">
        <v>354</v>
      </c>
      <c r="C67" s="6">
        <v>46138.0</v>
      </c>
      <c r="D67" s="5" t="s">
        <v>49</v>
      </c>
      <c r="E67" s="5" t="s">
        <v>50</v>
      </c>
    </row>
    <row r="68" ht="15.75" customHeight="1">
      <c r="A68" s="5" t="s">
        <v>356</v>
      </c>
      <c r="B68" s="5" t="s">
        <v>358</v>
      </c>
      <c r="C68" s="6">
        <v>46143.0</v>
      </c>
      <c r="D68" s="5" t="s">
        <v>57</v>
      </c>
      <c r="E68" s="5" t="s">
        <v>59</v>
      </c>
    </row>
    <row r="69" ht="15.75" customHeight="1">
      <c r="A69" s="5" t="s">
        <v>361</v>
      </c>
      <c r="B69" s="5" t="s">
        <v>362</v>
      </c>
      <c r="C69" s="6">
        <v>46148.0</v>
      </c>
      <c r="D69" s="5" t="s">
        <v>67</v>
      </c>
      <c r="E69" s="5" t="s">
        <v>71</v>
      </c>
    </row>
    <row r="70" ht="15.75" customHeight="1">
      <c r="A70" s="5" t="s">
        <v>366</v>
      </c>
      <c r="B70" s="5" t="s">
        <v>367</v>
      </c>
      <c r="C70" s="6">
        <v>46153.0</v>
      </c>
      <c r="D70" s="5" t="s">
        <v>40</v>
      </c>
      <c r="E70" s="5" t="s">
        <v>42</v>
      </c>
    </row>
    <row r="71" ht="15.75" customHeight="1">
      <c r="A71" s="5" t="s">
        <v>370</v>
      </c>
      <c r="B71" s="5" t="s">
        <v>372</v>
      </c>
      <c r="C71" s="6">
        <v>46158.0</v>
      </c>
      <c r="D71" s="5" t="s">
        <v>49</v>
      </c>
      <c r="E71" s="5" t="s">
        <v>50</v>
      </c>
    </row>
    <row r="72" ht="15.75" customHeight="1">
      <c r="A72" s="5" t="s">
        <v>375</v>
      </c>
      <c r="B72" s="5" t="s">
        <v>376</v>
      </c>
      <c r="C72" s="6">
        <v>46163.0</v>
      </c>
      <c r="D72" s="5" t="s">
        <v>57</v>
      </c>
      <c r="E72" s="5" t="s">
        <v>59</v>
      </c>
    </row>
    <row r="73" ht="15.75" customHeight="1">
      <c r="A73" s="5" t="s">
        <v>379</v>
      </c>
      <c r="B73" s="5" t="s">
        <v>380</v>
      </c>
      <c r="C73" s="6">
        <v>46168.0</v>
      </c>
      <c r="D73" s="5" t="s">
        <v>67</v>
      </c>
      <c r="E73" s="5" t="s">
        <v>71</v>
      </c>
    </row>
    <row r="74" ht="15.75" customHeight="1">
      <c r="A74" s="5" t="s">
        <v>382</v>
      </c>
      <c r="B74" s="5" t="s">
        <v>383</v>
      </c>
      <c r="C74" s="6">
        <v>46173.0</v>
      </c>
      <c r="D74" s="5" t="s">
        <v>40</v>
      </c>
      <c r="E74" s="5" t="s">
        <v>42</v>
      </c>
    </row>
    <row r="75" ht="15.75" customHeight="1">
      <c r="A75" s="5" t="s">
        <v>388</v>
      </c>
      <c r="B75" s="5" t="s">
        <v>75</v>
      </c>
      <c r="C75" s="6">
        <v>46178.0</v>
      </c>
      <c r="D75" s="5" t="s">
        <v>49</v>
      </c>
      <c r="E75" s="5" t="s">
        <v>50</v>
      </c>
    </row>
    <row r="76" ht="15.75" customHeight="1">
      <c r="A76" s="5" t="s">
        <v>393</v>
      </c>
      <c r="B76" s="5" t="s">
        <v>173</v>
      </c>
      <c r="C76" s="6">
        <v>46183.0</v>
      </c>
      <c r="D76" s="5" t="s">
        <v>57</v>
      </c>
      <c r="E76" s="5" t="s">
        <v>59</v>
      </c>
    </row>
    <row r="77" ht="15.75" customHeight="1">
      <c r="A77" s="5" t="s">
        <v>397</v>
      </c>
      <c r="B77" s="5" t="s">
        <v>258</v>
      </c>
      <c r="C77" s="6">
        <v>46188.0</v>
      </c>
      <c r="D77" s="5" t="s">
        <v>67</v>
      </c>
      <c r="E77" s="5" t="s">
        <v>71</v>
      </c>
    </row>
    <row r="78" ht="15.75" customHeight="1">
      <c r="A78" s="5" t="s">
        <v>400</v>
      </c>
      <c r="B78" s="5" t="s">
        <v>338</v>
      </c>
      <c r="C78" s="6">
        <v>46193.0</v>
      </c>
      <c r="D78" s="5" t="s">
        <v>40</v>
      </c>
      <c r="E78" s="5" t="s">
        <v>42</v>
      </c>
    </row>
    <row r="79" ht="15.75" customHeight="1">
      <c r="A79" s="5" t="s">
        <v>402</v>
      </c>
      <c r="B79" s="5" t="s">
        <v>403</v>
      </c>
      <c r="C79" s="6">
        <v>46198.0</v>
      </c>
      <c r="D79" s="5" t="s">
        <v>49</v>
      </c>
      <c r="E79" s="5" t="s">
        <v>50</v>
      </c>
    </row>
    <row r="80" ht="15.75" customHeight="1">
      <c r="A80" s="5" t="s">
        <v>405</v>
      </c>
      <c r="B80" s="5" t="s">
        <v>406</v>
      </c>
      <c r="C80" s="6">
        <v>46203.0</v>
      </c>
      <c r="D80" s="5" t="s">
        <v>57</v>
      </c>
      <c r="E80" s="5" t="s">
        <v>59</v>
      </c>
    </row>
    <row r="81" ht="15.75" customHeight="1">
      <c r="A81" s="5" t="s">
        <v>409</v>
      </c>
      <c r="B81" s="5" t="s">
        <v>410</v>
      </c>
      <c r="C81" s="6">
        <v>46208.0</v>
      </c>
      <c r="D81" s="5" t="s">
        <v>67</v>
      </c>
      <c r="E81" s="5" t="s">
        <v>71</v>
      </c>
    </row>
    <row r="82" ht="15.75" customHeight="1">
      <c r="A82" s="5" t="s">
        <v>412</v>
      </c>
      <c r="B82" s="5" t="s">
        <v>415</v>
      </c>
      <c r="C82" s="6">
        <v>46213.0</v>
      </c>
      <c r="D82" s="5" t="s">
        <v>40</v>
      </c>
      <c r="E82" s="5" t="s">
        <v>42</v>
      </c>
    </row>
    <row r="83" ht="15.75" customHeight="1">
      <c r="A83" s="5" t="s">
        <v>417</v>
      </c>
      <c r="B83" s="5" t="s">
        <v>419</v>
      </c>
      <c r="C83" s="6">
        <v>46218.0</v>
      </c>
      <c r="D83" s="5" t="s">
        <v>49</v>
      </c>
      <c r="E83" s="5" t="s">
        <v>50</v>
      </c>
    </row>
    <row r="84" ht="15.75" customHeight="1">
      <c r="A84" s="5" t="s">
        <v>421</v>
      </c>
      <c r="B84" s="5" t="s">
        <v>423</v>
      </c>
      <c r="C84" s="6">
        <v>46223.0</v>
      </c>
      <c r="D84" s="5" t="s">
        <v>57</v>
      </c>
      <c r="E84" s="5" t="s">
        <v>59</v>
      </c>
    </row>
    <row r="85" ht="15.75" customHeight="1">
      <c r="A85" s="5" t="s">
        <v>425</v>
      </c>
      <c r="B85" s="5" t="s">
        <v>427</v>
      </c>
      <c r="C85" s="6">
        <v>46228.0</v>
      </c>
      <c r="D85" s="5" t="s">
        <v>67</v>
      </c>
      <c r="E85" s="5" t="s">
        <v>71</v>
      </c>
    </row>
    <row r="86" ht="15.75" customHeight="1">
      <c r="A86" s="5" t="s">
        <v>429</v>
      </c>
      <c r="B86" s="5" t="s">
        <v>430</v>
      </c>
      <c r="C86" s="6">
        <v>46233.0</v>
      </c>
      <c r="D86" s="5" t="s">
        <v>40</v>
      </c>
      <c r="E86" s="5" t="s">
        <v>42</v>
      </c>
    </row>
    <row r="87" ht="15.75" customHeight="1">
      <c r="A87" s="5" t="s">
        <v>434</v>
      </c>
      <c r="B87" s="5" t="s">
        <v>435</v>
      </c>
      <c r="C87" s="6">
        <v>46238.0</v>
      </c>
      <c r="D87" s="5" t="s">
        <v>49</v>
      </c>
      <c r="E87" s="5" t="s">
        <v>50</v>
      </c>
    </row>
    <row r="88" ht="15.75" customHeight="1">
      <c r="A88" s="5" t="s">
        <v>438</v>
      </c>
      <c r="B88" s="5" t="s">
        <v>152</v>
      </c>
      <c r="C88" s="6">
        <v>46243.0</v>
      </c>
      <c r="D88" s="5" t="s">
        <v>57</v>
      </c>
      <c r="E88" s="5" t="s">
        <v>59</v>
      </c>
    </row>
    <row r="89" ht="15.75" customHeight="1">
      <c r="A89" s="5" t="s">
        <v>440</v>
      </c>
      <c r="B89" s="5" t="s">
        <v>237</v>
      </c>
      <c r="C89" s="6">
        <v>46248.0</v>
      </c>
      <c r="D89" s="5" t="s">
        <v>67</v>
      </c>
      <c r="E89" s="5" t="s">
        <v>71</v>
      </c>
    </row>
    <row r="90" ht="15.75" customHeight="1">
      <c r="A90" s="5" t="s">
        <v>443</v>
      </c>
      <c r="B90" s="5" t="s">
        <v>310</v>
      </c>
      <c r="C90" s="6">
        <v>46253.0</v>
      </c>
      <c r="D90" s="5" t="s">
        <v>40</v>
      </c>
      <c r="E90" s="5" t="s">
        <v>42</v>
      </c>
    </row>
    <row r="91" ht="15.75" customHeight="1">
      <c r="A91" s="5" t="s">
        <v>447</v>
      </c>
      <c r="B91" s="5" t="s">
        <v>390</v>
      </c>
      <c r="C91" s="6">
        <v>46258.0</v>
      </c>
      <c r="D91" s="5" t="s">
        <v>49</v>
      </c>
      <c r="E91" s="5" t="s">
        <v>50</v>
      </c>
    </row>
    <row r="92" ht="15.75" customHeight="1">
      <c r="A92" s="5" t="s">
        <v>453</v>
      </c>
      <c r="B92" s="5" t="s">
        <v>449</v>
      </c>
      <c r="C92" s="6">
        <v>46263.0</v>
      </c>
      <c r="D92" s="5" t="s">
        <v>57</v>
      </c>
      <c r="E92" s="5" t="s">
        <v>59</v>
      </c>
    </row>
    <row r="93" ht="15.75" customHeight="1">
      <c r="A93" s="5" t="s">
        <v>456</v>
      </c>
      <c r="B93" s="5" t="s">
        <v>457</v>
      </c>
      <c r="C93" s="6">
        <v>46023.0</v>
      </c>
      <c r="D93" s="5" t="s">
        <v>67</v>
      </c>
      <c r="E93" s="5" t="s">
        <v>71</v>
      </c>
    </row>
    <row r="94" ht="15.75" customHeight="1">
      <c r="A94" s="5" t="s">
        <v>459</v>
      </c>
      <c r="B94" s="5" t="s">
        <v>460</v>
      </c>
      <c r="C94" s="6">
        <v>46028.0</v>
      </c>
      <c r="D94" s="5" t="s">
        <v>40</v>
      </c>
      <c r="E94" s="5" t="s">
        <v>42</v>
      </c>
    </row>
    <row r="95" ht="15.75" customHeight="1">
      <c r="A95" s="5" t="s">
        <v>462</v>
      </c>
      <c r="B95" s="5" t="s">
        <v>463</v>
      </c>
      <c r="C95" s="6">
        <v>46033.0</v>
      </c>
      <c r="D95" s="5" t="s">
        <v>49</v>
      </c>
      <c r="E95" s="5" t="s">
        <v>50</v>
      </c>
    </row>
    <row r="96" ht="15.75" customHeight="1">
      <c r="A96" s="5" t="s">
        <v>465</v>
      </c>
      <c r="B96" s="5" t="s">
        <v>467</v>
      </c>
      <c r="C96" s="6">
        <v>46038.0</v>
      </c>
      <c r="D96" s="5" t="s">
        <v>57</v>
      </c>
      <c r="E96" s="5" t="s">
        <v>59</v>
      </c>
    </row>
    <row r="97" ht="15.75" customHeight="1">
      <c r="A97" s="5" t="s">
        <v>469</v>
      </c>
      <c r="B97" s="5" t="s">
        <v>470</v>
      </c>
      <c r="C97" s="6">
        <v>46043.0</v>
      </c>
      <c r="D97" s="5" t="s">
        <v>67</v>
      </c>
      <c r="E97" s="5" t="s">
        <v>71</v>
      </c>
    </row>
    <row r="98" ht="15.75" customHeight="1">
      <c r="A98" s="5" t="s">
        <v>472</v>
      </c>
      <c r="B98" s="5" t="s">
        <v>473</v>
      </c>
      <c r="C98" s="6">
        <v>46048.0</v>
      </c>
      <c r="D98" s="5" t="s">
        <v>40</v>
      </c>
      <c r="E98" s="5" t="s">
        <v>42</v>
      </c>
    </row>
    <row r="99" ht="15.75" customHeight="1">
      <c r="A99" s="5" t="s">
        <v>475</v>
      </c>
      <c r="B99" s="5" t="s">
        <v>476</v>
      </c>
      <c r="C99" s="6">
        <v>46053.0</v>
      </c>
      <c r="D99" s="5" t="s">
        <v>49</v>
      </c>
      <c r="E99" s="5" t="s">
        <v>50</v>
      </c>
    </row>
    <row r="100" ht="15.75" customHeight="1">
      <c r="A100" s="5" t="s">
        <v>477</v>
      </c>
      <c r="B100" s="5" t="s">
        <v>121</v>
      </c>
      <c r="C100" s="6">
        <v>46058.0</v>
      </c>
      <c r="D100" s="5" t="s">
        <v>57</v>
      </c>
      <c r="E100" s="5" t="s">
        <v>59</v>
      </c>
    </row>
    <row r="101" ht="15.75" customHeight="1">
      <c r="A101" s="5" t="s">
        <v>478</v>
      </c>
      <c r="B101" s="5" t="s">
        <v>208</v>
      </c>
      <c r="C101" s="6">
        <v>46063.0</v>
      </c>
      <c r="D101" s="5" t="s">
        <v>67</v>
      </c>
      <c r="E101" s="5" t="s">
        <v>71</v>
      </c>
    </row>
    <row r="102" ht="15.75" customHeight="1">
      <c r="A102" s="5" t="s">
        <v>479</v>
      </c>
      <c r="B102" s="5" t="s">
        <v>285</v>
      </c>
      <c r="C102" s="6">
        <v>46068.0</v>
      </c>
      <c r="D102" s="5" t="s">
        <v>40</v>
      </c>
      <c r="E102" s="5" t="s">
        <v>42</v>
      </c>
    </row>
    <row r="103" ht="15.75" customHeight="1">
      <c r="A103" s="5" t="s">
        <v>480</v>
      </c>
      <c r="B103" s="5" t="s">
        <v>364</v>
      </c>
      <c r="C103" s="6">
        <v>46073.0</v>
      </c>
      <c r="D103" s="5" t="s">
        <v>49</v>
      </c>
      <c r="E103" s="5" t="s">
        <v>50</v>
      </c>
    </row>
    <row r="104" ht="15.75" customHeight="1">
      <c r="A104" s="5" t="s">
        <v>481</v>
      </c>
      <c r="B104" s="5" t="s">
        <v>432</v>
      </c>
      <c r="C104" s="6">
        <v>46078.0</v>
      </c>
      <c r="D104" s="5" t="s">
        <v>57</v>
      </c>
      <c r="E104" s="5" t="s">
        <v>59</v>
      </c>
    </row>
    <row r="105" ht="15.75" customHeight="1">
      <c r="A105" s="5" t="s">
        <v>483</v>
      </c>
      <c r="B105" s="5" t="s">
        <v>482</v>
      </c>
      <c r="C105" s="6">
        <v>46083.0</v>
      </c>
      <c r="D105" s="5" t="s">
        <v>67</v>
      </c>
      <c r="E105" s="5" t="s">
        <v>71</v>
      </c>
    </row>
    <row r="106" ht="15.75" customHeight="1">
      <c r="A106" s="5" t="s">
        <v>485</v>
      </c>
      <c r="B106" s="5" t="s">
        <v>486</v>
      </c>
      <c r="C106" s="6">
        <v>46088.0</v>
      </c>
      <c r="D106" s="5" t="s">
        <v>40</v>
      </c>
      <c r="E106" s="5" t="s">
        <v>42</v>
      </c>
    </row>
    <row r="107" ht="15.75" customHeight="1">
      <c r="A107" s="5" t="s">
        <v>487</v>
      </c>
      <c r="B107" s="5" t="s">
        <v>488</v>
      </c>
      <c r="C107" s="6">
        <v>46093.0</v>
      </c>
      <c r="D107" s="5" t="s">
        <v>49</v>
      </c>
      <c r="E107" s="5" t="s">
        <v>50</v>
      </c>
    </row>
    <row r="108" ht="15.75" customHeight="1">
      <c r="A108" s="5" t="s">
        <v>489</v>
      </c>
      <c r="B108" s="5" t="s">
        <v>490</v>
      </c>
      <c r="C108" s="6">
        <v>46098.0</v>
      </c>
      <c r="D108" s="5" t="s">
        <v>57</v>
      </c>
      <c r="E108" s="5" t="s">
        <v>59</v>
      </c>
    </row>
    <row r="109" ht="15.75" customHeight="1">
      <c r="A109" s="5" t="s">
        <v>491</v>
      </c>
      <c r="B109" s="5" t="s">
        <v>492</v>
      </c>
      <c r="C109" s="6">
        <v>46103.0</v>
      </c>
      <c r="D109" s="5" t="s">
        <v>67</v>
      </c>
      <c r="E109" s="5" t="s">
        <v>71</v>
      </c>
    </row>
    <row r="110" ht="15.75" customHeight="1">
      <c r="A110" s="5" t="s">
        <v>493</v>
      </c>
      <c r="B110" s="5" t="s">
        <v>494</v>
      </c>
      <c r="C110" s="6">
        <v>46108.0</v>
      </c>
      <c r="D110" s="5" t="s">
        <v>40</v>
      </c>
      <c r="E110" s="5" t="s">
        <v>42</v>
      </c>
    </row>
    <row r="111" ht="15.75" customHeight="1">
      <c r="A111" s="5" t="s">
        <v>495</v>
      </c>
      <c r="B111" s="5" t="s">
        <v>496</v>
      </c>
      <c r="C111" s="6">
        <v>46113.0</v>
      </c>
      <c r="D111" s="5" t="s">
        <v>49</v>
      </c>
      <c r="E111" s="5" t="s">
        <v>50</v>
      </c>
    </row>
    <row r="112" ht="15.75" customHeight="1">
      <c r="A112" s="5" t="s">
        <v>497</v>
      </c>
      <c r="B112" s="5" t="s">
        <v>86</v>
      </c>
      <c r="C112" s="6">
        <v>46118.0</v>
      </c>
      <c r="D112" s="5" t="s">
        <v>57</v>
      </c>
      <c r="E112" s="5" t="s">
        <v>59</v>
      </c>
    </row>
    <row r="113" ht="15.75" customHeight="1">
      <c r="A113" s="5" t="s">
        <v>499</v>
      </c>
      <c r="B113" s="5" t="s">
        <v>181</v>
      </c>
      <c r="C113" s="6">
        <v>46123.0</v>
      </c>
      <c r="D113" s="5" t="s">
        <v>67</v>
      </c>
      <c r="E113" s="5" t="s">
        <v>71</v>
      </c>
    </row>
    <row r="114" ht="15.75" customHeight="1">
      <c r="A114" s="5" t="s">
        <v>500</v>
      </c>
      <c r="B114" s="5" t="s">
        <v>264</v>
      </c>
      <c r="C114" s="6">
        <v>46128.0</v>
      </c>
      <c r="D114" s="5" t="s">
        <v>40</v>
      </c>
      <c r="E114" s="5" t="s">
        <v>42</v>
      </c>
    </row>
    <row r="115" ht="15.75" customHeight="1">
      <c r="A115" s="5" t="s">
        <v>501</v>
      </c>
      <c r="B115" s="5" t="s">
        <v>344</v>
      </c>
      <c r="C115" s="6">
        <v>46133.0</v>
      </c>
      <c r="D115" s="5" t="s">
        <v>49</v>
      </c>
      <c r="E115" s="5" t="s">
        <v>50</v>
      </c>
    </row>
    <row r="116" ht="15.75" customHeight="1">
      <c r="A116" s="5" t="s">
        <v>502</v>
      </c>
      <c r="B116" s="5" t="s">
        <v>411</v>
      </c>
      <c r="C116" s="6">
        <v>46138.0</v>
      </c>
      <c r="D116" s="5" t="s">
        <v>57</v>
      </c>
      <c r="E116" s="5" t="s">
        <v>59</v>
      </c>
    </row>
    <row r="117" ht="15.75" customHeight="1">
      <c r="A117" s="5" t="s">
        <v>503</v>
      </c>
      <c r="B117" s="5" t="s">
        <v>471</v>
      </c>
      <c r="C117" s="6">
        <v>46143.0</v>
      </c>
      <c r="D117" s="5" t="s">
        <v>67</v>
      </c>
      <c r="E117" s="5" t="s">
        <v>71</v>
      </c>
    </row>
    <row r="118" ht="15.75" customHeight="1">
      <c r="A118" s="5" t="s">
        <v>504</v>
      </c>
      <c r="B118" s="5" t="s">
        <v>505</v>
      </c>
      <c r="C118" s="6">
        <v>46148.0</v>
      </c>
      <c r="D118" s="5" t="s">
        <v>40</v>
      </c>
      <c r="E118" s="5" t="s">
        <v>42</v>
      </c>
    </row>
    <row r="119" ht="15.75" customHeight="1">
      <c r="A119" s="5" t="s">
        <v>506</v>
      </c>
      <c r="B119" s="5" t="s">
        <v>507</v>
      </c>
      <c r="C119" s="6">
        <v>46153.0</v>
      </c>
      <c r="D119" s="5" t="s">
        <v>49</v>
      </c>
      <c r="E119" s="5" t="s">
        <v>50</v>
      </c>
    </row>
    <row r="120" ht="15.75" customHeight="1">
      <c r="A120" s="5" t="s">
        <v>508</v>
      </c>
      <c r="B120" s="5" t="s">
        <v>509</v>
      </c>
      <c r="C120" s="6">
        <v>46158.0</v>
      </c>
      <c r="D120" s="5" t="s">
        <v>57</v>
      </c>
      <c r="E120" s="5" t="s">
        <v>59</v>
      </c>
    </row>
    <row r="121" ht="15.75" customHeight="1">
      <c r="A121" s="5" t="s">
        <v>510</v>
      </c>
      <c r="B121" s="5" t="s">
        <v>512</v>
      </c>
      <c r="C121" s="6">
        <v>46163.0</v>
      </c>
      <c r="D121" s="5" t="s">
        <v>67</v>
      </c>
      <c r="E121" s="5" t="s">
        <v>71</v>
      </c>
    </row>
    <row r="122" ht="15.75" customHeight="1">
      <c r="A122" s="5" t="s">
        <v>513</v>
      </c>
      <c r="B122" s="5" t="s">
        <v>514</v>
      </c>
      <c r="C122" s="6">
        <v>46168.0</v>
      </c>
      <c r="D122" s="5" t="s">
        <v>40</v>
      </c>
      <c r="E122" s="5" t="s">
        <v>42</v>
      </c>
    </row>
    <row r="123" ht="15.75" customHeight="1">
      <c r="A123" s="5" t="s">
        <v>515</v>
      </c>
      <c r="B123" s="5" t="s">
        <v>516</v>
      </c>
      <c r="C123" s="6">
        <v>46173.0</v>
      </c>
      <c r="D123" s="5" t="s">
        <v>49</v>
      </c>
      <c r="E123" s="5" t="s">
        <v>50</v>
      </c>
    </row>
    <row r="124" ht="15.75" customHeight="1">
      <c r="A124" s="5" t="s">
        <v>517</v>
      </c>
      <c r="B124" s="5" t="s">
        <v>518</v>
      </c>
      <c r="C124" s="6">
        <v>46178.0</v>
      </c>
      <c r="D124" s="5" t="s">
        <v>57</v>
      </c>
      <c r="E124" s="5" t="s">
        <v>59</v>
      </c>
    </row>
    <row r="125" ht="15.75" customHeight="1">
      <c r="A125" s="5" t="s">
        <v>519</v>
      </c>
      <c r="B125" s="5" t="s">
        <v>159</v>
      </c>
      <c r="C125" s="6">
        <v>46183.0</v>
      </c>
      <c r="D125" s="5" t="s">
        <v>67</v>
      </c>
      <c r="E125" s="5" t="s">
        <v>71</v>
      </c>
    </row>
    <row r="126" ht="15.75" customHeight="1">
      <c r="A126" s="5" t="s">
        <v>520</v>
      </c>
      <c r="B126" s="5" t="s">
        <v>243</v>
      </c>
      <c r="C126" s="6">
        <v>46188.0</v>
      </c>
      <c r="D126" s="5" t="s">
        <v>40</v>
      </c>
      <c r="E126" s="5" t="s">
        <v>42</v>
      </c>
    </row>
    <row r="127" ht="15.75" customHeight="1">
      <c r="A127" s="5" t="s">
        <v>521</v>
      </c>
      <c r="B127" s="5" t="s">
        <v>316</v>
      </c>
      <c r="C127" s="6">
        <v>46193.0</v>
      </c>
      <c r="D127" s="5" t="s">
        <v>49</v>
      </c>
      <c r="E127" s="5" t="s">
        <v>50</v>
      </c>
    </row>
    <row r="128" ht="15.75" customHeight="1">
      <c r="A128" s="5" t="s">
        <v>523</v>
      </c>
      <c r="B128" s="5" t="s">
        <v>395</v>
      </c>
      <c r="C128" s="6">
        <v>46198.0</v>
      </c>
      <c r="D128" s="5" t="s">
        <v>57</v>
      </c>
      <c r="E128" s="5" t="s">
        <v>59</v>
      </c>
    </row>
    <row r="129" ht="15.75" customHeight="1">
      <c r="A129" s="5" t="s">
        <v>524</v>
      </c>
      <c r="B129" s="5" t="s">
        <v>454</v>
      </c>
      <c r="C129" s="6">
        <v>46203.0</v>
      </c>
      <c r="D129" s="5" t="s">
        <v>67</v>
      </c>
      <c r="E129" s="5" t="s">
        <v>71</v>
      </c>
    </row>
    <row r="130" ht="15.75" customHeight="1">
      <c r="A130" s="5" t="s">
        <v>525</v>
      </c>
      <c r="B130" s="5" t="s">
        <v>498</v>
      </c>
      <c r="C130" s="6">
        <v>46208.0</v>
      </c>
      <c r="D130" s="5" t="s">
        <v>40</v>
      </c>
      <c r="E130" s="5" t="s">
        <v>42</v>
      </c>
    </row>
    <row r="131" ht="15.75" customHeight="1">
      <c r="A131" s="5" t="s">
        <v>526</v>
      </c>
      <c r="B131" s="5" t="s">
        <v>527</v>
      </c>
      <c r="C131" s="6">
        <v>46213.0</v>
      </c>
      <c r="D131" s="5" t="s">
        <v>49</v>
      </c>
      <c r="E131" s="5" t="s">
        <v>50</v>
      </c>
    </row>
    <row r="132" ht="15.75" customHeight="1">
      <c r="A132" s="5" t="s">
        <v>528</v>
      </c>
      <c r="B132" s="5" t="s">
        <v>529</v>
      </c>
      <c r="C132" s="6">
        <v>46218.0</v>
      </c>
      <c r="D132" s="5" t="s">
        <v>57</v>
      </c>
      <c r="E132" s="5" t="s">
        <v>59</v>
      </c>
    </row>
    <row r="133" ht="15.75" customHeight="1">
      <c r="A133" s="5" t="s">
        <v>530</v>
      </c>
      <c r="B133" s="5" t="s">
        <v>531</v>
      </c>
      <c r="C133" s="6">
        <v>46223.0</v>
      </c>
      <c r="D133" s="5" t="s">
        <v>67</v>
      </c>
      <c r="E133" s="5" t="s">
        <v>71</v>
      </c>
    </row>
    <row r="134" ht="15.75" customHeight="1">
      <c r="A134" s="5" t="s">
        <v>532</v>
      </c>
      <c r="B134" s="5" t="s">
        <v>533</v>
      </c>
      <c r="C134" s="6">
        <v>46228.0</v>
      </c>
      <c r="D134" s="5" t="s">
        <v>40</v>
      </c>
      <c r="E134" s="5" t="s">
        <v>42</v>
      </c>
    </row>
    <row r="135" ht="15.75" customHeight="1">
      <c r="A135" s="5" t="s">
        <v>534</v>
      </c>
      <c r="B135" s="5" t="s">
        <v>535</v>
      </c>
      <c r="C135" s="6">
        <v>46233.0</v>
      </c>
      <c r="D135" s="5" t="s">
        <v>49</v>
      </c>
      <c r="E135" s="5" t="s">
        <v>50</v>
      </c>
    </row>
    <row r="136" ht="15.75" customHeight="1">
      <c r="A136" s="5" t="s">
        <v>536</v>
      </c>
      <c r="B136" s="5" t="s">
        <v>537</v>
      </c>
      <c r="C136" s="6">
        <v>46238.0</v>
      </c>
      <c r="D136" s="5" t="s">
        <v>57</v>
      </c>
      <c r="E136" s="5" t="s">
        <v>59</v>
      </c>
    </row>
    <row r="137" ht="15.75" customHeight="1">
      <c r="A137" s="5" t="s">
        <v>538</v>
      </c>
      <c r="B137" s="5" t="s">
        <v>131</v>
      </c>
      <c r="C137" s="6">
        <v>46243.0</v>
      </c>
      <c r="D137" s="5" t="s">
        <v>67</v>
      </c>
      <c r="E137" s="5" t="s">
        <v>71</v>
      </c>
    </row>
    <row r="138" ht="15.75" customHeight="1">
      <c r="A138" s="5" t="s">
        <v>539</v>
      </c>
      <c r="B138" s="5" t="s">
        <v>218</v>
      </c>
      <c r="C138" s="6">
        <v>46248.0</v>
      </c>
      <c r="D138" s="5" t="s">
        <v>40</v>
      </c>
      <c r="E138" s="5" t="s">
        <v>42</v>
      </c>
    </row>
    <row r="139" ht="15.75" customHeight="1">
      <c r="A139" s="5" t="s">
        <v>540</v>
      </c>
      <c r="B139" s="5" t="s">
        <v>291</v>
      </c>
      <c r="C139" s="6">
        <v>46253.0</v>
      </c>
      <c r="D139" s="5" t="s">
        <v>49</v>
      </c>
      <c r="E139" s="5" t="s">
        <v>50</v>
      </c>
    </row>
    <row r="140" ht="15.75" customHeight="1">
      <c r="A140" s="5" t="s">
        <v>541</v>
      </c>
      <c r="B140" s="5" t="s">
        <v>371</v>
      </c>
      <c r="C140" s="6">
        <v>46258.0</v>
      </c>
      <c r="D140" s="5" t="s">
        <v>57</v>
      </c>
      <c r="E140" s="5" t="s">
        <v>59</v>
      </c>
    </row>
    <row r="141" ht="15.75" customHeight="1">
      <c r="A141" s="5" t="s">
        <v>542</v>
      </c>
      <c r="B141" s="5" t="s">
        <v>437</v>
      </c>
      <c r="C141" s="6">
        <v>46263.0</v>
      </c>
      <c r="D141" s="5" t="s">
        <v>67</v>
      </c>
      <c r="E141" s="5" t="s">
        <v>71</v>
      </c>
    </row>
    <row r="142" ht="15.75" customHeight="1">
      <c r="A142" s="5" t="s">
        <v>543</v>
      </c>
      <c r="B142" s="5" t="s">
        <v>484</v>
      </c>
      <c r="C142" s="6">
        <v>46023.0</v>
      </c>
      <c r="D142" s="5" t="s">
        <v>40</v>
      </c>
      <c r="E142" s="5" t="s">
        <v>42</v>
      </c>
    </row>
    <row r="143" ht="15.75" customHeight="1">
      <c r="A143" s="5" t="s">
        <v>544</v>
      </c>
      <c r="B143" s="5" t="s">
        <v>522</v>
      </c>
      <c r="C143" s="6">
        <v>46028.0</v>
      </c>
      <c r="D143" s="5" t="s">
        <v>49</v>
      </c>
      <c r="E143" s="5" t="s">
        <v>50</v>
      </c>
    </row>
    <row r="144" ht="15.75" customHeight="1">
      <c r="A144" s="5" t="s">
        <v>546</v>
      </c>
      <c r="B144" s="5" t="s">
        <v>547</v>
      </c>
      <c r="C144" s="6">
        <v>46033.0</v>
      </c>
      <c r="D144" s="5" t="s">
        <v>57</v>
      </c>
      <c r="E144" s="5" t="s">
        <v>59</v>
      </c>
    </row>
    <row r="145" ht="15.75" customHeight="1">
      <c r="A145" s="5" t="s">
        <v>548</v>
      </c>
      <c r="B145" s="5" t="s">
        <v>549</v>
      </c>
      <c r="C145" s="6">
        <v>46038.0</v>
      </c>
      <c r="D145" s="5" t="s">
        <v>67</v>
      </c>
      <c r="E145" s="5" t="s">
        <v>71</v>
      </c>
    </row>
    <row r="146" ht="15.75" customHeight="1">
      <c r="A146" s="5" t="s">
        <v>550</v>
      </c>
      <c r="B146" s="5" t="s">
        <v>551</v>
      </c>
      <c r="C146" s="6">
        <v>46043.0</v>
      </c>
      <c r="D146" s="5" t="s">
        <v>40</v>
      </c>
      <c r="E146" s="5" t="s">
        <v>42</v>
      </c>
    </row>
    <row r="147" ht="15.75" customHeight="1">
      <c r="A147" s="5" t="s">
        <v>552</v>
      </c>
      <c r="B147" s="5" t="s">
        <v>553</v>
      </c>
      <c r="C147" s="6">
        <v>46048.0</v>
      </c>
      <c r="D147" s="5" t="s">
        <v>49</v>
      </c>
      <c r="E147" s="5" t="s">
        <v>50</v>
      </c>
    </row>
    <row r="148" ht="15.75" customHeight="1">
      <c r="A148" s="5" t="s">
        <v>554</v>
      </c>
      <c r="B148" s="5" t="s">
        <v>555</v>
      </c>
      <c r="C148" s="6">
        <v>46053.0</v>
      </c>
      <c r="D148" s="5" t="s">
        <v>57</v>
      </c>
      <c r="E148" s="5" t="s">
        <v>59</v>
      </c>
    </row>
    <row r="149" ht="15.75" customHeight="1">
      <c r="A149" s="5" t="s">
        <v>556</v>
      </c>
      <c r="B149" s="5" t="s">
        <v>97</v>
      </c>
      <c r="C149" s="6">
        <v>46058.0</v>
      </c>
      <c r="D149" s="5" t="s">
        <v>67</v>
      </c>
      <c r="E149" s="5" t="s">
        <v>71</v>
      </c>
    </row>
    <row r="150" ht="15.75" customHeight="1">
      <c r="A150" s="5" t="s">
        <v>557</v>
      </c>
      <c r="B150" s="5" t="s">
        <v>189</v>
      </c>
      <c r="C150" s="6">
        <v>46063.0</v>
      </c>
      <c r="D150" s="5" t="s">
        <v>40</v>
      </c>
      <c r="E150" s="5" t="s">
        <v>42</v>
      </c>
    </row>
    <row r="151" ht="15.75" customHeight="1">
      <c r="A151" s="5" t="s">
        <v>558</v>
      </c>
      <c r="B151" s="5" t="s">
        <v>268</v>
      </c>
      <c r="C151" s="6">
        <v>46068.0</v>
      </c>
      <c r="D151" s="5" t="s">
        <v>49</v>
      </c>
      <c r="E151" s="5" t="s">
        <v>50</v>
      </c>
    </row>
    <row r="152" ht="15.75" customHeight="1">
      <c r="A152" s="5" t="s">
        <v>559</v>
      </c>
      <c r="B152" s="5" t="s">
        <v>349</v>
      </c>
      <c r="C152" s="6">
        <v>46073.0</v>
      </c>
      <c r="D152" s="5" t="s">
        <v>57</v>
      </c>
      <c r="E152" s="5" t="s">
        <v>59</v>
      </c>
    </row>
    <row r="153" ht="15.75" customHeight="1">
      <c r="A153" s="5" t="s">
        <v>560</v>
      </c>
      <c r="B153" s="5" t="s">
        <v>413</v>
      </c>
      <c r="C153" s="6">
        <v>46078.0</v>
      </c>
      <c r="D153" s="5" t="s">
        <v>67</v>
      </c>
      <c r="E153" s="5" t="s">
        <v>71</v>
      </c>
    </row>
    <row r="154" ht="15.75" customHeight="1">
      <c r="A154" s="5" t="s">
        <v>561</v>
      </c>
      <c r="B154" s="5" t="s">
        <v>474</v>
      </c>
      <c r="C154" s="6">
        <v>46083.0</v>
      </c>
      <c r="D154" s="5" t="s">
        <v>40</v>
      </c>
      <c r="E154" s="5" t="s">
        <v>42</v>
      </c>
    </row>
    <row r="155" ht="15.75" customHeight="1">
      <c r="A155" s="5" t="s">
        <v>562</v>
      </c>
      <c r="B155" s="5" t="s">
        <v>511</v>
      </c>
      <c r="C155" s="6">
        <v>46088.0</v>
      </c>
      <c r="D155" s="5" t="s">
        <v>49</v>
      </c>
      <c r="E155" s="5" t="s">
        <v>50</v>
      </c>
    </row>
    <row r="156" ht="15.75" customHeight="1">
      <c r="A156" s="5" t="s">
        <v>563</v>
      </c>
      <c r="B156" s="5" t="s">
        <v>545</v>
      </c>
      <c r="C156" s="6">
        <v>46093.0</v>
      </c>
      <c r="D156" s="5" t="s">
        <v>57</v>
      </c>
      <c r="E156" s="5" t="s">
        <v>59</v>
      </c>
    </row>
    <row r="157" ht="15.75" customHeight="1">
      <c r="A157" s="5" t="s">
        <v>564</v>
      </c>
      <c r="B157" s="5" t="s">
        <v>565</v>
      </c>
      <c r="C157" s="6">
        <v>46098.0</v>
      </c>
      <c r="D157" s="5" t="s">
        <v>67</v>
      </c>
      <c r="E157" s="5" t="s">
        <v>71</v>
      </c>
    </row>
    <row r="158" ht="15.75" customHeight="1">
      <c r="A158" s="5" t="s">
        <v>566</v>
      </c>
      <c r="B158" s="5" t="s">
        <v>567</v>
      </c>
      <c r="C158" s="6">
        <v>46103.0</v>
      </c>
      <c r="D158" s="5" t="s">
        <v>40</v>
      </c>
      <c r="E158" s="5" t="s">
        <v>42</v>
      </c>
    </row>
    <row r="159" ht="15.75" customHeight="1">
      <c r="A159" s="5" t="s">
        <v>568</v>
      </c>
      <c r="B159" s="5" t="s">
        <v>569</v>
      </c>
      <c r="C159" s="6">
        <v>46108.0</v>
      </c>
      <c r="D159" s="5" t="s">
        <v>49</v>
      </c>
      <c r="E159" s="5" t="s">
        <v>50</v>
      </c>
    </row>
    <row r="160" ht="15.75" customHeight="1">
      <c r="A160" s="5" t="s">
        <v>570</v>
      </c>
      <c r="B160" s="5" t="s">
        <v>571</v>
      </c>
      <c r="C160" s="6">
        <v>46113.0</v>
      </c>
      <c r="D160" s="5" t="s">
        <v>57</v>
      </c>
      <c r="E160" s="5" t="s">
        <v>59</v>
      </c>
    </row>
    <row r="161" ht="15.75" customHeight="1">
      <c r="A161" s="5" t="s">
        <v>572</v>
      </c>
      <c r="B161" s="5" t="s">
        <v>39</v>
      </c>
      <c r="C161" s="6">
        <v>46118.0</v>
      </c>
      <c r="D161" s="5" t="s">
        <v>67</v>
      </c>
      <c r="E161" s="5" t="s">
        <v>71</v>
      </c>
    </row>
    <row r="162" ht="15.75" customHeight="1">
      <c r="A162" s="5" t="s">
        <v>573</v>
      </c>
      <c r="B162" s="5" t="s">
        <v>36</v>
      </c>
      <c r="C162" s="6">
        <v>46123.0</v>
      </c>
      <c r="D162" s="5" t="s">
        <v>40</v>
      </c>
      <c r="E162" s="5" t="s">
        <v>42</v>
      </c>
    </row>
    <row r="163" ht="15.75" customHeight="1">
      <c r="A163" s="5" t="s">
        <v>574</v>
      </c>
      <c r="B163" s="5" t="s">
        <v>47</v>
      </c>
      <c r="C163" s="6">
        <v>46128.0</v>
      </c>
      <c r="D163" s="5" t="s">
        <v>49</v>
      </c>
      <c r="E163" s="5" t="s">
        <v>50</v>
      </c>
    </row>
    <row r="164" ht="15.75" customHeight="1">
      <c r="A164" s="5" t="s">
        <v>576</v>
      </c>
      <c r="B164" s="5" t="s">
        <v>54</v>
      </c>
      <c r="C164" s="6">
        <v>46133.0</v>
      </c>
      <c r="D164" s="5" t="s">
        <v>57</v>
      </c>
      <c r="E164" s="5" t="s">
        <v>59</v>
      </c>
    </row>
    <row r="165" ht="15.75" customHeight="1">
      <c r="A165" s="5" t="s">
        <v>580</v>
      </c>
      <c r="B165" s="5" t="s">
        <v>63</v>
      </c>
      <c r="C165" s="6">
        <v>46138.0</v>
      </c>
      <c r="D165" s="5" t="s">
        <v>67</v>
      </c>
      <c r="E165" s="5" t="s">
        <v>71</v>
      </c>
    </row>
    <row r="166" ht="15.75" customHeight="1">
      <c r="A166" s="5" t="s">
        <v>584</v>
      </c>
      <c r="B166" s="5" t="s">
        <v>76</v>
      </c>
      <c r="C166" s="6">
        <v>46143.0</v>
      </c>
      <c r="D166" s="5" t="s">
        <v>40</v>
      </c>
      <c r="E166" s="5" t="s">
        <v>42</v>
      </c>
    </row>
    <row r="167" ht="15.75" customHeight="1">
      <c r="A167" s="5" t="s">
        <v>585</v>
      </c>
      <c r="B167" s="5" t="s">
        <v>87</v>
      </c>
      <c r="C167" s="6">
        <v>46148.0</v>
      </c>
      <c r="D167" s="5" t="s">
        <v>49</v>
      </c>
      <c r="E167" s="5" t="s">
        <v>50</v>
      </c>
    </row>
    <row r="168" ht="15.75" customHeight="1">
      <c r="A168" s="5" t="s">
        <v>586</v>
      </c>
      <c r="B168" s="5" t="s">
        <v>95</v>
      </c>
      <c r="C168" s="6">
        <v>46153.0</v>
      </c>
      <c r="D168" s="5" t="s">
        <v>57</v>
      </c>
      <c r="E168" s="5" t="s">
        <v>59</v>
      </c>
    </row>
    <row r="169" ht="15.75" customHeight="1">
      <c r="A169" s="5" t="s">
        <v>587</v>
      </c>
      <c r="B169" s="5" t="s">
        <v>101</v>
      </c>
      <c r="C169" s="6">
        <v>46158.0</v>
      </c>
      <c r="D169" s="5" t="s">
        <v>67</v>
      </c>
      <c r="E169" s="5" t="s">
        <v>71</v>
      </c>
    </row>
    <row r="170" ht="15.75" customHeight="1">
      <c r="A170" s="5" t="s">
        <v>588</v>
      </c>
      <c r="B170" s="5" t="s">
        <v>108</v>
      </c>
      <c r="C170" s="6">
        <v>46163.0</v>
      </c>
      <c r="D170" s="5" t="s">
        <v>40</v>
      </c>
      <c r="E170" s="5" t="s">
        <v>42</v>
      </c>
    </row>
    <row r="171" ht="15.75" customHeight="1">
      <c r="A171" s="5" t="s">
        <v>594</v>
      </c>
      <c r="B171" s="5" t="s">
        <v>113</v>
      </c>
      <c r="C171" s="6">
        <v>46168.0</v>
      </c>
      <c r="D171" s="5" t="s">
        <v>49</v>
      </c>
      <c r="E171" s="5" t="s">
        <v>50</v>
      </c>
    </row>
    <row r="172" ht="15.75" customHeight="1">
      <c r="A172" s="5" t="s">
        <v>595</v>
      </c>
      <c r="B172" s="5" t="s">
        <v>117</v>
      </c>
      <c r="C172" s="6">
        <v>46173.0</v>
      </c>
      <c r="D172" s="5" t="s">
        <v>57</v>
      </c>
      <c r="E172" s="5" t="s">
        <v>59</v>
      </c>
    </row>
    <row r="173" ht="15.75" customHeight="1">
      <c r="A173" s="5" t="s">
        <v>596</v>
      </c>
      <c r="B173" s="5" t="s">
        <v>120</v>
      </c>
      <c r="C173" s="6">
        <v>46178.0</v>
      </c>
      <c r="D173" s="5" t="s">
        <v>67</v>
      </c>
      <c r="E173" s="5" t="s">
        <v>71</v>
      </c>
    </row>
    <row r="174" ht="15.75" customHeight="1">
      <c r="A174" s="5" t="s">
        <v>597</v>
      </c>
      <c r="B174" s="5" t="s">
        <v>126</v>
      </c>
      <c r="C174" s="6">
        <v>46183.0</v>
      </c>
      <c r="D174" s="5" t="s">
        <v>40</v>
      </c>
      <c r="E174" s="5" t="s">
        <v>42</v>
      </c>
    </row>
    <row r="175" ht="15.75" customHeight="1">
      <c r="A175" s="5" t="s">
        <v>598</v>
      </c>
      <c r="B175" s="5" t="s">
        <v>129</v>
      </c>
      <c r="C175" s="6">
        <v>46188.0</v>
      </c>
      <c r="D175" s="5" t="s">
        <v>49</v>
      </c>
      <c r="E175" s="5" t="s">
        <v>50</v>
      </c>
    </row>
    <row r="176" ht="15.75" customHeight="1">
      <c r="A176" s="5" t="s">
        <v>599</v>
      </c>
      <c r="B176" s="5" t="s">
        <v>136</v>
      </c>
      <c r="C176" s="6">
        <v>46193.0</v>
      </c>
      <c r="D176" s="5" t="s">
        <v>57</v>
      </c>
      <c r="E176" s="5" t="s">
        <v>59</v>
      </c>
    </row>
    <row r="177" ht="15.75" customHeight="1">
      <c r="A177" s="5" t="s">
        <v>600</v>
      </c>
      <c r="B177" s="5" t="s">
        <v>140</v>
      </c>
      <c r="C177" s="6">
        <v>46198.0</v>
      </c>
      <c r="D177" s="5" t="s">
        <v>67</v>
      </c>
      <c r="E177" s="5" t="s">
        <v>71</v>
      </c>
    </row>
    <row r="178" ht="15.75" customHeight="1">
      <c r="A178" s="5" t="s">
        <v>601</v>
      </c>
      <c r="B178" s="5" t="s">
        <v>144</v>
      </c>
      <c r="C178" s="6">
        <v>46203.0</v>
      </c>
      <c r="D178" s="5" t="s">
        <v>40</v>
      </c>
      <c r="E178" s="5" t="s">
        <v>42</v>
      </c>
    </row>
    <row r="179" ht="15.75" customHeight="1">
      <c r="A179" s="5" t="s">
        <v>603</v>
      </c>
      <c r="B179" s="5" t="s">
        <v>147</v>
      </c>
      <c r="C179" s="6">
        <v>46208.0</v>
      </c>
      <c r="D179" s="5" t="s">
        <v>49</v>
      </c>
      <c r="E179" s="5" t="s">
        <v>50</v>
      </c>
    </row>
    <row r="180" ht="15.75" customHeight="1">
      <c r="A180" s="5" t="s">
        <v>604</v>
      </c>
      <c r="B180" s="5" t="s">
        <v>151</v>
      </c>
      <c r="C180" s="6">
        <v>46213.0</v>
      </c>
      <c r="D180" s="5" t="s">
        <v>57</v>
      </c>
      <c r="E180" s="5" t="s">
        <v>59</v>
      </c>
    </row>
    <row r="181" ht="15.75" customHeight="1">
      <c r="A181" s="5" t="s">
        <v>605</v>
      </c>
      <c r="B181" s="5" t="s">
        <v>154</v>
      </c>
      <c r="C181" s="6">
        <v>46218.0</v>
      </c>
      <c r="D181" s="5" t="s">
        <v>67</v>
      </c>
      <c r="E181" s="5" t="s">
        <v>71</v>
      </c>
    </row>
    <row r="182" ht="15.75" customHeight="1">
      <c r="A182" s="5" t="s">
        <v>606</v>
      </c>
      <c r="B182" s="5" t="s">
        <v>158</v>
      </c>
      <c r="C182" s="6">
        <v>46223.0</v>
      </c>
      <c r="D182" s="5" t="s">
        <v>40</v>
      </c>
      <c r="E182" s="5" t="s">
        <v>42</v>
      </c>
    </row>
    <row r="183" ht="15.75" customHeight="1">
      <c r="A183" s="5" t="s">
        <v>607</v>
      </c>
      <c r="B183" s="5" t="s">
        <v>161</v>
      </c>
      <c r="C183" s="6">
        <v>46228.0</v>
      </c>
      <c r="D183" s="5" t="s">
        <v>49</v>
      </c>
      <c r="E183" s="5" t="s">
        <v>50</v>
      </c>
    </row>
    <row r="184" ht="15.75" customHeight="1">
      <c r="A184" s="5" t="s">
        <v>608</v>
      </c>
      <c r="B184" s="5" t="s">
        <v>164</v>
      </c>
      <c r="C184" s="6">
        <v>46233.0</v>
      </c>
      <c r="D184" s="5" t="s">
        <v>57</v>
      </c>
      <c r="E184" s="5" t="s">
        <v>59</v>
      </c>
    </row>
    <row r="185" ht="15.75" customHeight="1">
      <c r="A185" s="5" t="s">
        <v>609</v>
      </c>
      <c r="B185" s="5" t="s">
        <v>170</v>
      </c>
      <c r="C185" s="6">
        <v>46238.0</v>
      </c>
      <c r="D185" s="5" t="s">
        <v>67</v>
      </c>
      <c r="E185" s="5" t="s">
        <v>71</v>
      </c>
    </row>
    <row r="186" ht="15.75" customHeight="1">
      <c r="A186" s="5" t="s">
        <v>610</v>
      </c>
      <c r="B186" s="5" t="s">
        <v>107</v>
      </c>
      <c r="C186" s="6">
        <v>46243.0</v>
      </c>
      <c r="D186" s="5" t="s">
        <v>40</v>
      </c>
      <c r="E186" s="5" t="s">
        <v>42</v>
      </c>
    </row>
    <row r="187" ht="15.75" customHeight="1">
      <c r="A187" s="5" t="s">
        <v>611</v>
      </c>
      <c r="B187" s="5" t="s">
        <v>176</v>
      </c>
      <c r="C187" s="6">
        <v>46248.0</v>
      </c>
      <c r="D187" s="5" t="s">
        <v>49</v>
      </c>
      <c r="E187" s="5" t="s">
        <v>50</v>
      </c>
    </row>
    <row r="188" ht="15.75" customHeight="1">
      <c r="A188" s="5" t="s">
        <v>612</v>
      </c>
      <c r="B188" s="5" t="s">
        <v>180</v>
      </c>
      <c r="C188" s="6">
        <v>46253.0</v>
      </c>
      <c r="D188" s="5" t="s">
        <v>57</v>
      </c>
      <c r="E188" s="5" t="s">
        <v>59</v>
      </c>
    </row>
    <row r="189" ht="15.75" customHeight="1">
      <c r="A189" s="5" t="s">
        <v>613</v>
      </c>
      <c r="B189" s="5" t="s">
        <v>185</v>
      </c>
      <c r="C189" s="6">
        <v>46258.0</v>
      </c>
      <c r="D189" s="5" t="s">
        <v>67</v>
      </c>
      <c r="E189" s="5" t="s">
        <v>71</v>
      </c>
    </row>
    <row r="190" ht="15.75" customHeight="1">
      <c r="A190" s="5" t="s">
        <v>614</v>
      </c>
      <c r="B190" s="5" t="s">
        <v>188</v>
      </c>
      <c r="C190" s="6">
        <v>46263.0</v>
      </c>
      <c r="D190" s="5" t="s">
        <v>40</v>
      </c>
      <c r="E190" s="5" t="s">
        <v>42</v>
      </c>
    </row>
    <row r="191" ht="15.75" customHeight="1">
      <c r="A191" s="5" t="s">
        <v>615</v>
      </c>
      <c r="B191" s="5" t="s">
        <v>193</v>
      </c>
      <c r="C191" s="6">
        <v>46023.0</v>
      </c>
      <c r="D191" s="5" t="s">
        <v>49</v>
      </c>
      <c r="E191" s="5" t="s">
        <v>50</v>
      </c>
    </row>
    <row r="192" ht="15.75" customHeight="1">
      <c r="A192" s="5" t="s">
        <v>616</v>
      </c>
      <c r="B192" s="5" t="s">
        <v>198</v>
      </c>
      <c r="C192" s="6">
        <v>46028.0</v>
      </c>
      <c r="D192" s="5" t="s">
        <v>57</v>
      </c>
      <c r="E192" s="5" t="s">
        <v>59</v>
      </c>
    </row>
    <row r="193" ht="15.75" customHeight="1">
      <c r="A193" s="5" t="s">
        <v>617</v>
      </c>
      <c r="B193" s="5" t="s">
        <v>200</v>
      </c>
      <c r="C193" s="6">
        <v>46033.0</v>
      </c>
      <c r="D193" s="5" t="s">
        <v>67</v>
      </c>
      <c r="E193" s="5" t="s">
        <v>71</v>
      </c>
    </row>
    <row r="194" ht="15.75" customHeight="1">
      <c r="A194" s="5" t="s">
        <v>618</v>
      </c>
      <c r="B194" s="5" t="s">
        <v>206</v>
      </c>
      <c r="C194" s="6">
        <v>46038.0</v>
      </c>
      <c r="D194" s="5" t="s">
        <v>40</v>
      </c>
      <c r="E194" s="5" t="s">
        <v>42</v>
      </c>
    </row>
    <row r="195" ht="15.75" customHeight="1">
      <c r="A195" s="5" t="s">
        <v>619</v>
      </c>
      <c r="B195" s="5" t="s">
        <v>209</v>
      </c>
      <c r="C195" s="6">
        <v>46043.0</v>
      </c>
      <c r="D195" s="5" t="s">
        <v>49</v>
      </c>
      <c r="E195" s="5" t="s">
        <v>50</v>
      </c>
    </row>
    <row r="196" ht="15.75" customHeight="1">
      <c r="A196" s="5" t="s">
        <v>620</v>
      </c>
      <c r="B196" s="5" t="s">
        <v>213</v>
      </c>
      <c r="C196" s="6">
        <v>46048.0</v>
      </c>
      <c r="D196" s="5" t="s">
        <v>57</v>
      </c>
      <c r="E196" s="5" t="s">
        <v>59</v>
      </c>
    </row>
    <row r="197" ht="15.75" customHeight="1">
      <c r="A197" s="5" t="s">
        <v>621</v>
      </c>
      <c r="B197" s="5" t="s">
        <v>216</v>
      </c>
      <c r="C197" s="6">
        <v>46053.0</v>
      </c>
      <c r="D197" s="5" t="s">
        <v>67</v>
      </c>
      <c r="E197" s="5" t="s">
        <v>71</v>
      </c>
    </row>
    <row r="198" ht="15.75" customHeight="1">
      <c r="A198" s="5" t="s">
        <v>622</v>
      </c>
      <c r="B198" s="5" t="s">
        <v>62</v>
      </c>
      <c r="C198" s="6">
        <v>46058.0</v>
      </c>
      <c r="D198" s="5" t="s">
        <v>40</v>
      </c>
      <c r="E198" s="5" t="s">
        <v>42</v>
      </c>
    </row>
    <row r="199" ht="15.75" customHeight="1">
      <c r="A199" s="5" t="s">
        <v>623</v>
      </c>
      <c r="B199" s="5" t="s">
        <v>167</v>
      </c>
      <c r="C199" s="6">
        <v>46063.0</v>
      </c>
      <c r="D199" s="5" t="s">
        <v>49</v>
      </c>
      <c r="E199" s="5" t="s">
        <v>50</v>
      </c>
    </row>
    <row r="200" ht="15.75" customHeight="1">
      <c r="A200" s="5" t="s">
        <v>624</v>
      </c>
      <c r="B200" s="5" t="s">
        <v>229</v>
      </c>
      <c r="C200" s="6">
        <v>46068.0</v>
      </c>
      <c r="D200" s="5" t="s">
        <v>57</v>
      </c>
      <c r="E200" s="5" t="s">
        <v>59</v>
      </c>
    </row>
    <row r="201" ht="15.75" customHeight="1">
      <c r="A201" s="5" t="s">
        <v>625</v>
      </c>
      <c r="B201" s="5" t="s">
        <v>234</v>
      </c>
      <c r="C201" s="6">
        <v>46073.0</v>
      </c>
      <c r="D201" s="5" t="s">
        <v>67</v>
      </c>
      <c r="E201" s="5" t="s">
        <v>71</v>
      </c>
    </row>
    <row r="202" ht="15.75" customHeight="1">
      <c r="A202" s="5" t="s">
        <v>626</v>
      </c>
      <c r="B202" s="5" t="s">
        <v>240</v>
      </c>
      <c r="C202" s="6">
        <v>46078.0</v>
      </c>
      <c r="D202" s="5" t="s">
        <v>40</v>
      </c>
      <c r="E202" s="5" t="s">
        <v>42</v>
      </c>
    </row>
    <row r="203" ht="15.75" customHeight="1">
      <c r="A203" s="5" t="s">
        <v>627</v>
      </c>
      <c r="B203" s="5" t="s">
        <v>244</v>
      </c>
      <c r="C203" s="6">
        <v>46083.0</v>
      </c>
      <c r="D203" s="5" t="s">
        <v>49</v>
      </c>
      <c r="E203" s="5" t="s">
        <v>50</v>
      </c>
    </row>
    <row r="204" ht="15.75" customHeight="1">
      <c r="A204" s="5" t="s">
        <v>628</v>
      </c>
      <c r="B204" s="5" t="s">
        <v>247</v>
      </c>
      <c r="C204" s="6">
        <v>46088.0</v>
      </c>
      <c r="D204" s="5" t="s">
        <v>57</v>
      </c>
      <c r="E204" s="5" t="s">
        <v>59</v>
      </c>
    </row>
    <row r="205" ht="15.75" customHeight="1">
      <c r="A205" s="5" t="s">
        <v>629</v>
      </c>
      <c r="B205" s="5" t="s">
        <v>251</v>
      </c>
      <c r="C205" s="6">
        <v>46093.0</v>
      </c>
      <c r="D205" s="5" t="s">
        <v>67</v>
      </c>
      <c r="E205" s="5" t="s">
        <v>71</v>
      </c>
    </row>
    <row r="206" ht="15.75" customHeight="1">
      <c r="A206" s="5" t="s">
        <v>630</v>
      </c>
      <c r="B206" s="5" t="s">
        <v>255</v>
      </c>
      <c r="C206" s="6">
        <v>46098.0</v>
      </c>
      <c r="D206" s="5" t="s">
        <v>40</v>
      </c>
      <c r="E206" s="5" t="s">
        <v>42</v>
      </c>
    </row>
    <row r="207" ht="15.75" customHeight="1">
      <c r="A207" s="5" t="s">
        <v>631</v>
      </c>
      <c r="B207" s="5" t="s">
        <v>260</v>
      </c>
      <c r="C207" s="6">
        <v>46103.0</v>
      </c>
      <c r="D207" s="5" t="s">
        <v>49</v>
      </c>
      <c r="E207" s="5" t="s">
        <v>50</v>
      </c>
    </row>
    <row r="208" ht="15.75" customHeight="1">
      <c r="A208" s="5" t="s">
        <v>632</v>
      </c>
      <c r="B208" s="5" t="s">
        <v>265</v>
      </c>
      <c r="C208" s="6">
        <v>46108.0</v>
      </c>
      <c r="D208" s="5" t="s">
        <v>57</v>
      </c>
      <c r="E208" s="5" t="s">
        <v>59</v>
      </c>
    </row>
    <row r="209" ht="15.75" customHeight="1">
      <c r="A209" s="5" t="s">
        <v>645</v>
      </c>
      <c r="B209" s="5" t="s">
        <v>271</v>
      </c>
      <c r="C209" s="6">
        <v>46113.0</v>
      </c>
      <c r="D209" s="5" t="s">
        <v>67</v>
      </c>
      <c r="E209" s="5" t="s">
        <v>71</v>
      </c>
    </row>
    <row r="210" ht="15.75" customHeight="1">
      <c r="A210" s="5" t="s">
        <v>649</v>
      </c>
      <c r="B210" s="5" t="s">
        <v>275</v>
      </c>
      <c r="C210" s="6">
        <v>46118.0</v>
      </c>
      <c r="D210" s="5" t="s">
        <v>40</v>
      </c>
      <c r="E210" s="5" t="s">
        <v>42</v>
      </c>
    </row>
    <row r="211" ht="15.75" customHeight="1">
      <c r="A211" s="5" t="s">
        <v>650</v>
      </c>
      <c r="B211" s="5" t="s">
        <v>145</v>
      </c>
      <c r="C211" s="6">
        <v>46123.0</v>
      </c>
      <c r="D211" s="5" t="s">
        <v>49</v>
      </c>
      <c r="E211" s="5" t="s">
        <v>50</v>
      </c>
    </row>
    <row r="212" ht="15.75" customHeight="1">
      <c r="A212" s="5" t="s">
        <v>651</v>
      </c>
      <c r="B212" s="5" t="s">
        <v>230</v>
      </c>
      <c r="C212" s="6">
        <v>46128.0</v>
      </c>
      <c r="D212" s="5" t="s">
        <v>57</v>
      </c>
      <c r="E212" s="5" t="s">
        <v>59</v>
      </c>
    </row>
    <row r="213" ht="15.75" customHeight="1">
      <c r="A213" s="5" t="s">
        <v>652</v>
      </c>
      <c r="B213" s="5" t="s">
        <v>290</v>
      </c>
      <c r="C213" s="6">
        <v>46133.0</v>
      </c>
      <c r="D213" s="5" t="s">
        <v>67</v>
      </c>
      <c r="E213" s="5" t="s">
        <v>71</v>
      </c>
    </row>
    <row r="214" ht="15.75" customHeight="1">
      <c r="A214" s="5" t="s">
        <v>653</v>
      </c>
      <c r="B214" s="5" t="s">
        <v>296</v>
      </c>
      <c r="C214" s="6">
        <v>46138.0</v>
      </c>
      <c r="D214" s="5" t="s">
        <v>40</v>
      </c>
      <c r="E214" s="5" t="s">
        <v>42</v>
      </c>
    </row>
    <row r="215" ht="15.75" customHeight="1">
      <c r="A215" s="5" t="s">
        <v>654</v>
      </c>
      <c r="B215" s="5" t="s">
        <v>300</v>
      </c>
      <c r="C215" s="6">
        <v>46143.0</v>
      </c>
      <c r="D215" s="5" t="s">
        <v>49</v>
      </c>
      <c r="E215" s="5" t="s">
        <v>50</v>
      </c>
    </row>
    <row r="216" ht="15.75" customHeight="1">
      <c r="A216" s="5" t="s">
        <v>655</v>
      </c>
      <c r="B216" s="5" t="s">
        <v>304</v>
      </c>
      <c r="C216" s="6">
        <v>46148.0</v>
      </c>
      <c r="D216" s="5" t="s">
        <v>57</v>
      </c>
      <c r="E216" s="5" t="s">
        <v>59</v>
      </c>
    </row>
    <row r="217" ht="15.75" customHeight="1">
      <c r="A217" s="5" t="s">
        <v>656</v>
      </c>
      <c r="B217" s="5" t="s">
        <v>308</v>
      </c>
      <c r="C217" s="6">
        <v>46153.0</v>
      </c>
      <c r="D217" s="5" t="s">
        <v>67</v>
      </c>
      <c r="E217" s="5" t="s">
        <v>71</v>
      </c>
    </row>
    <row r="218" ht="15.75" customHeight="1">
      <c r="A218" s="5" t="s">
        <v>657</v>
      </c>
      <c r="B218" s="5" t="s">
        <v>315</v>
      </c>
      <c r="C218" s="6">
        <v>46158.0</v>
      </c>
      <c r="D218" s="5" t="s">
        <v>40</v>
      </c>
      <c r="E218" s="5" t="s">
        <v>42</v>
      </c>
    </row>
    <row r="219" ht="15.75" customHeight="1">
      <c r="A219" s="5" t="s">
        <v>658</v>
      </c>
      <c r="B219" s="5" t="s">
        <v>320</v>
      </c>
      <c r="C219" s="6">
        <v>46163.0</v>
      </c>
      <c r="D219" s="5" t="s">
        <v>49</v>
      </c>
      <c r="E219" s="5" t="s">
        <v>50</v>
      </c>
    </row>
    <row r="220" ht="15.75" customHeight="1">
      <c r="A220" s="5" t="s">
        <v>659</v>
      </c>
      <c r="B220" s="5" t="s">
        <v>328</v>
      </c>
      <c r="C220" s="6">
        <v>46168.0</v>
      </c>
      <c r="D220" s="5" t="s">
        <v>57</v>
      </c>
      <c r="E220" s="5" t="s">
        <v>59</v>
      </c>
    </row>
    <row r="221" ht="15.75" customHeight="1">
      <c r="A221" s="5" t="s">
        <v>660</v>
      </c>
      <c r="B221" s="5" t="s">
        <v>331</v>
      </c>
      <c r="C221" s="6">
        <v>46173.0</v>
      </c>
      <c r="D221" s="5" t="s">
        <v>67</v>
      </c>
      <c r="E221" s="5" t="s">
        <v>71</v>
      </c>
    </row>
    <row r="222" ht="15.75" customHeight="1">
      <c r="A222" s="5" t="s">
        <v>661</v>
      </c>
      <c r="B222" s="5" t="s">
        <v>334</v>
      </c>
      <c r="C222" s="6">
        <v>46178.0</v>
      </c>
      <c r="D222" s="5" t="s">
        <v>40</v>
      </c>
      <c r="E222" s="5" t="s">
        <v>42</v>
      </c>
    </row>
    <row r="223" ht="15.75" customHeight="1">
      <c r="A223" s="5" t="s">
        <v>662</v>
      </c>
      <c r="B223" s="5" t="s">
        <v>114</v>
      </c>
      <c r="C223" s="6">
        <v>46183.0</v>
      </c>
      <c r="D223" s="5" t="s">
        <v>49</v>
      </c>
      <c r="E223" s="5" t="s">
        <v>50</v>
      </c>
    </row>
    <row r="224" ht="15.75" customHeight="1">
      <c r="A224" s="5" t="s">
        <v>663</v>
      </c>
      <c r="B224" s="5" t="s">
        <v>201</v>
      </c>
      <c r="C224" s="6">
        <v>46188.0</v>
      </c>
      <c r="D224" s="5" t="s">
        <v>57</v>
      </c>
      <c r="E224" s="5" t="s">
        <v>59</v>
      </c>
    </row>
    <row r="225" ht="15.75" customHeight="1">
      <c r="A225" s="5" t="s">
        <v>664</v>
      </c>
      <c r="B225" s="5" t="s">
        <v>279</v>
      </c>
      <c r="C225" s="6">
        <v>46193.0</v>
      </c>
      <c r="D225" s="5" t="s">
        <v>67</v>
      </c>
      <c r="E225" s="5" t="s">
        <v>71</v>
      </c>
    </row>
    <row r="226" ht="15.75" customHeight="1">
      <c r="A226" s="5" t="s">
        <v>665</v>
      </c>
      <c r="B226" s="5" t="s">
        <v>351</v>
      </c>
      <c r="C226" s="6">
        <v>46198.0</v>
      </c>
      <c r="D226" s="5" t="s">
        <v>40</v>
      </c>
      <c r="E226" s="5" t="s">
        <v>42</v>
      </c>
    </row>
    <row r="227" ht="15.75" customHeight="1">
      <c r="A227" s="5" t="s">
        <v>666</v>
      </c>
      <c r="B227" s="5" t="s">
        <v>354</v>
      </c>
      <c r="C227" s="6">
        <v>46203.0</v>
      </c>
      <c r="D227" s="5" t="s">
        <v>49</v>
      </c>
      <c r="E227" s="5" t="s">
        <v>50</v>
      </c>
    </row>
    <row r="228" ht="15.75" customHeight="1">
      <c r="A228" s="5" t="s">
        <v>667</v>
      </c>
      <c r="B228" s="5" t="s">
        <v>358</v>
      </c>
      <c r="C228" s="6">
        <v>46208.0</v>
      </c>
      <c r="D228" s="5" t="s">
        <v>57</v>
      </c>
      <c r="E228" s="5" t="s">
        <v>59</v>
      </c>
    </row>
    <row r="229" ht="15.75" customHeight="1">
      <c r="A229" s="5" t="s">
        <v>668</v>
      </c>
      <c r="B229" s="5" t="s">
        <v>362</v>
      </c>
      <c r="C229" s="6">
        <v>46213.0</v>
      </c>
      <c r="D229" s="5" t="s">
        <v>67</v>
      </c>
      <c r="E229" s="5" t="s">
        <v>71</v>
      </c>
    </row>
    <row r="230" ht="15.75" customHeight="1">
      <c r="A230" s="5" t="s">
        <v>669</v>
      </c>
      <c r="B230" s="5" t="s">
        <v>367</v>
      </c>
      <c r="C230" s="6">
        <v>46218.0</v>
      </c>
      <c r="D230" s="5" t="s">
        <v>40</v>
      </c>
      <c r="E230" s="5" t="s">
        <v>42</v>
      </c>
    </row>
    <row r="231" ht="15.75" customHeight="1">
      <c r="A231" s="5" t="s">
        <v>670</v>
      </c>
      <c r="B231" s="5" t="s">
        <v>372</v>
      </c>
      <c r="C231" s="6">
        <v>46223.0</v>
      </c>
      <c r="D231" s="5" t="s">
        <v>49</v>
      </c>
      <c r="E231" s="5" t="s">
        <v>50</v>
      </c>
    </row>
    <row r="232" ht="15.75" customHeight="1">
      <c r="A232" s="5" t="s">
        <v>671</v>
      </c>
      <c r="B232" s="5" t="s">
        <v>376</v>
      </c>
      <c r="C232" s="6">
        <v>46228.0</v>
      </c>
      <c r="D232" s="5" t="s">
        <v>57</v>
      </c>
      <c r="E232" s="5" t="s">
        <v>59</v>
      </c>
    </row>
    <row r="233" ht="15.75" customHeight="1">
      <c r="A233" s="5" t="s">
        <v>672</v>
      </c>
      <c r="B233" s="5" t="s">
        <v>380</v>
      </c>
      <c r="C233" s="6">
        <v>46233.0</v>
      </c>
      <c r="D233" s="5" t="s">
        <v>67</v>
      </c>
      <c r="E233" s="5" t="s">
        <v>71</v>
      </c>
    </row>
    <row r="234" ht="15.75" customHeight="1">
      <c r="A234" s="5" t="s">
        <v>673</v>
      </c>
      <c r="B234" s="5" t="s">
        <v>383</v>
      </c>
      <c r="C234" s="6">
        <v>46238.0</v>
      </c>
      <c r="D234" s="5" t="s">
        <v>40</v>
      </c>
      <c r="E234" s="5" t="s">
        <v>42</v>
      </c>
    </row>
    <row r="235" ht="15.75" customHeight="1">
      <c r="A235" s="5" t="s">
        <v>674</v>
      </c>
      <c r="B235" s="5" t="s">
        <v>75</v>
      </c>
      <c r="C235" s="6">
        <v>46243.0</v>
      </c>
      <c r="D235" s="5" t="s">
        <v>49</v>
      </c>
      <c r="E235" s="5" t="s">
        <v>50</v>
      </c>
    </row>
    <row r="236" ht="15.75" customHeight="1">
      <c r="A236" s="5" t="s">
        <v>675</v>
      </c>
      <c r="B236" s="5" t="s">
        <v>173</v>
      </c>
      <c r="C236" s="6">
        <v>46248.0</v>
      </c>
      <c r="D236" s="5" t="s">
        <v>57</v>
      </c>
      <c r="E236" s="5" t="s">
        <v>59</v>
      </c>
    </row>
    <row r="237" ht="15.75" customHeight="1">
      <c r="A237" s="5" t="s">
        <v>676</v>
      </c>
      <c r="B237" s="5" t="s">
        <v>258</v>
      </c>
      <c r="C237" s="6">
        <v>46253.0</v>
      </c>
      <c r="D237" s="5" t="s">
        <v>67</v>
      </c>
      <c r="E237" s="5" t="s">
        <v>71</v>
      </c>
    </row>
    <row r="238" ht="15.75" customHeight="1">
      <c r="A238" s="5" t="s">
        <v>677</v>
      </c>
      <c r="B238" s="5" t="s">
        <v>338</v>
      </c>
      <c r="C238" s="6">
        <v>46258.0</v>
      </c>
      <c r="D238" s="5" t="s">
        <v>40</v>
      </c>
      <c r="E238" s="5" t="s">
        <v>42</v>
      </c>
    </row>
    <row r="239" ht="15.75" customHeight="1">
      <c r="A239" s="5" t="s">
        <v>678</v>
      </c>
      <c r="B239" s="5" t="s">
        <v>403</v>
      </c>
      <c r="C239" s="6">
        <v>46263.0</v>
      </c>
      <c r="D239" s="5" t="s">
        <v>49</v>
      </c>
      <c r="E239" s="5" t="s">
        <v>50</v>
      </c>
    </row>
    <row r="240" ht="15.75" customHeight="1">
      <c r="A240" s="5" t="s">
        <v>679</v>
      </c>
      <c r="B240" s="5" t="s">
        <v>406</v>
      </c>
      <c r="C240" s="6">
        <v>46023.0</v>
      </c>
      <c r="D240" s="5" t="s">
        <v>57</v>
      </c>
      <c r="E240" s="5" t="s">
        <v>59</v>
      </c>
    </row>
    <row r="241" ht="15.75" customHeight="1">
      <c r="A241" s="5" t="s">
        <v>680</v>
      </c>
      <c r="B241" s="5" t="s">
        <v>410</v>
      </c>
      <c r="C241" s="6">
        <v>46028.0</v>
      </c>
      <c r="D241" s="5" t="s">
        <v>67</v>
      </c>
      <c r="E241" s="5" t="s">
        <v>71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9.38"/>
    <col customWidth="1" min="3" max="3" width="18.25"/>
    <col customWidth="1" min="4" max="26" width="8.63"/>
  </cols>
  <sheetData>
    <row r="1">
      <c r="A1" s="4" t="s">
        <v>133</v>
      </c>
      <c r="B1" s="4" t="s">
        <v>29</v>
      </c>
      <c r="C1" s="4" t="s">
        <v>138</v>
      </c>
    </row>
    <row r="2">
      <c r="A2" s="6">
        <v>46023.0</v>
      </c>
      <c r="B2" s="5" t="s">
        <v>71</v>
      </c>
      <c r="C2" s="7">
        <v>15600.0</v>
      </c>
    </row>
    <row r="3">
      <c r="A3" s="6">
        <v>46023.0</v>
      </c>
      <c r="B3" s="5" t="s">
        <v>59</v>
      </c>
      <c r="C3" s="7">
        <v>16100.0</v>
      </c>
    </row>
    <row r="4">
      <c r="A4" s="6">
        <v>46023.0</v>
      </c>
      <c r="B4" s="5" t="s">
        <v>50</v>
      </c>
      <c r="C4" s="7">
        <v>15600.0</v>
      </c>
    </row>
    <row r="5">
      <c r="A5" s="6">
        <v>46023.0</v>
      </c>
      <c r="B5" s="5" t="s">
        <v>42</v>
      </c>
      <c r="C5" s="7">
        <v>15100.0</v>
      </c>
    </row>
    <row r="6">
      <c r="A6" s="6">
        <v>46054.0</v>
      </c>
      <c r="B6" s="5" t="s">
        <v>71</v>
      </c>
      <c r="C6" s="7">
        <v>16700.0</v>
      </c>
    </row>
    <row r="7">
      <c r="A7" s="6">
        <v>46054.0</v>
      </c>
      <c r="B7" s="5" t="s">
        <v>59</v>
      </c>
      <c r="C7" s="7">
        <v>17200.0</v>
      </c>
    </row>
    <row r="8">
      <c r="A8" s="6">
        <v>46054.0</v>
      </c>
      <c r="B8" s="5" t="s">
        <v>50</v>
      </c>
      <c r="C8" s="7">
        <v>16700.0</v>
      </c>
    </row>
    <row r="9">
      <c r="A9" s="6">
        <v>46054.0</v>
      </c>
      <c r="B9" s="5" t="s">
        <v>42</v>
      </c>
      <c r="C9" s="7">
        <v>16200.0</v>
      </c>
    </row>
    <row r="10">
      <c r="A10" s="6">
        <v>46082.0</v>
      </c>
      <c r="B10" s="5" t="s">
        <v>71</v>
      </c>
      <c r="C10" s="7">
        <v>17800.0</v>
      </c>
    </row>
    <row r="11">
      <c r="A11" s="6">
        <v>46082.0</v>
      </c>
      <c r="B11" s="5" t="s">
        <v>59</v>
      </c>
      <c r="C11" s="7">
        <v>18300.0</v>
      </c>
    </row>
    <row r="12">
      <c r="A12" s="6">
        <v>46082.0</v>
      </c>
      <c r="B12" s="5" t="s">
        <v>50</v>
      </c>
      <c r="C12" s="7">
        <v>17800.0</v>
      </c>
    </row>
    <row r="13">
      <c r="A13" s="6">
        <v>46082.0</v>
      </c>
      <c r="B13" s="5" t="s">
        <v>42</v>
      </c>
      <c r="C13" s="7">
        <v>17300.0</v>
      </c>
    </row>
    <row r="14">
      <c r="A14" s="6">
        <v>46113.0</v>
      </c>
      <c r="B14" s="5" t="s">
        <v>71</v>
      </c>
      <c r="C14" s="7">
        <v>18900.0</v>
      </c>
    </row>
    <row r="15">
      <c r="A15" s="6">
        <v>46113.0</v>
      </c>
      <c r="B15" s="5" t="s">
        <v>59</v>
      </c>
      <c r="C15" s="7">
        <v>12400.0</v>
      </c>
    </row>
    <row r="16">
      <c r="A16" s="6">
        <v>46113.0</v>
      </c>
      <c r="B16" s="5" t="s">
        <v>50</v>
      </c>
      <c r="C16" s="7">
        <v>18900.0</v>
      </c>
    </row>
    <row r="17">
      <c r="A17" s="6">
        <v>46113.0</v>
      </c>
      <c r="B17" s="5" t="s">
        <v>42</v>
      </c>
      <c r="C17" s="7">
        <v>18400.0</v>
      </c>
    </row>
    <row r="18">
      <c r="A18" s="6">
        <v>46143.0</v>
      </c>
      <c r="B18" s="5" t="s">
        <v>71</v>
      </c>
      <c r="C18" s="7">
        <v>13000.0</v>
      </c>
    </row>
    <row r="19">
      <c r="A19" s="6">
        <v>46143.0</v>
      </c>
      <c r="B19" s="5" t="s">
        <v>59</v>
      </c>
      <c r="C19" s="7">
        <v>13500.0</v>
      </c>
    </row>
    <row r="20">
      <c r="A20" s="6">
        <v>46143.0</v>
      </c>
      <c r="B20" s="5" t="s">
        <v>50</v>
      </c>
      <c r="C20" s="7">
        <v>13000.0</v>
      </c>
    </row>
    <row r="21" ht="15.75" customHeight="1">
      <c r="A21" s="6">
        <v>46143.0</v>
      </c>
      <c r="B21" s="5" t="s">
        <v>42</v>
      </c>
      <c r="C21" s="7">
        <v>12500.0</v>
      </c>
    </row>
    <row r="22" ht="15.75" customHeight="1">
      <c r="A22" s="6">
        <v>46174.0</v>
      </c>
      <c r="B22" s="5" t="s">
        <v>71</v>
      </c>
      <c r="C22" s="7">
        <v>14100.0</v>
      </c>
    </row>
    <row r="23" ht="15.75" customHeight="1">
      <c r="A23" s="6">
        <v>46174.0</v>
      </c>
      <c r="B23" s="5" t="s">
        <v>59</v>
      </c>
      <c r="C23" s="7">
        <v>14600.0</v>
      </c>
    </row>
    <row r="24" ht="15.75" customHeight="1">
      <c r="A24" s="6">
        <v>46174.0</v>
      </c>
      <c r="B24" s="5" t="s">
        <v>50</v>
      </c>
      <c r="C24" s="7">
        <v>14100.0</v>
      </c>
    </row>
    <row r="25" ht="15.75" customHeight="1">
      <c r="A25" s="6">
        <v>46174.0</v>
      </c>
      <c r="B25" s="5" t="s">
        <v>42</v>
      </c>
      <c r="C25" s="7">
        <v>13600.0</v>
      </c>
    </row>
    <row r="26" ht="15.75" customHeight="1">
      <c r="A26" s="6">
        <v>46204.0</v>
      </c>
      <c r="B26" s="5" t="s">
        <v>71</v>
      </c>
      <c r="C26" s="7">
        <v>15200.0</v>
      </c>
    </row>
    <row r="27" ht="15.75" customHeight="1">
      <c r="A27" s="6">
        <v>46204.0</v>
      </c>
      <c r="B27" s="5" t="s">
        <v>59</v>
      </c>
      <c r="C27" s="7">
        <v>15700.0</v>
      </c>
    </row>
    <row r="28" ht="15.75" customHeight="1">
      <c r="A28" s="6">
        <v>46204.0</v>
      </c>
      <c r="B28" s="5" t="s">
        <v>50</v>
      </c>
      <c r="C28" s="7">
        <v>15200.0</v>
      </c>
    </row>
    <row r="29" ht="15.75" customHeight="1">
      <c r="A29" s="6">
        <v>46204.0</v>
      </c>
      <c r="B29" s="5" t="s">
        <v>42</v>
      </c>
      <c r="C29" s="7">
        <v>14700.0</v>
      </c>
    </row>
    <row r="30" ht="15.75" customHeight="1">
      <c r="A30" s="6">
        <v>46235.0</v>
      </c>
      <c r="B30" s="5" t="s">
        <v>71</v>
      </c>
      <c r="C30" s="7">
        <v>16300.0</v>
      </c>
    </row>
    <row r="31" ht="15.75" customHeight="1">
      <c r="A31" s="6">
        <v>46235.0</v>
      </c>
      <c r="B31" s="5" t="s">
        <v>59</v>
      </c>
      <c r="C31" s="7">
        <v>16800.0</v>
      </c>
    </row>
    <row r="32" ht="15.75" customHeight="1">
      <c r="A32" s="6">
        <v>46235.0</v>
      </c>
      <c r="B32" s="5" t="s">
        <v>50</v>
      </c>
      <c r="C32" s="7">
        <v>16300.0</v>
      </c>
    </row>
    <row r="33" ht="15.75" customHeight="1">
      <c r="A33" s="6">
        <v>46235.0</v>
      </c>
      <c r="B33" s="5" t="s">
        <v>42</v>
      </c>
      <c r="C33" s="7">
        <v>15800.0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.25"/>
    <col customWidth="1" min="3" max="3" width="14.13"/>
    <col customWidth="1" min="4" max="4" width="11.88"/>
    <col customWidth="1" min="5" max="5" width="18.63"/>
    <col customWidth="1" min="6" max="6" width="14.63"/>
    <col customWidth="1" min="7" max="7" width="9.5"/>
    <col customWidth="1" min="8" max="8" width="13.88"/>
    <col customWidth="1" min="9" max="9" width="19.0"/>
    <col customWidth="1" min="10" max="10" width="9.38"/>
    <col customWidth="1" min="11" max="11" width="13.5"/>
    <col customWidth="1" min="12" max="12" width="21.13"/>
    <col customWidth="1" min="13" max="13" width="15.5"/>
    <col customWidth="1" min="14" max="14" width="18.5"/>
    <col customWidth="1" min="15" max="26" width="8.63"/>
  </cols>
  <sheetData>
    <row r="1">
      <c r="A1" s="8" t="s">
        <v>21</v>
      </c>
      <c r="B1" s="8" t="s">
        <v>23</v>
      </c>
      <c r="C1" s="8" t="s">
        <v>24</v>
      </c>
      <c r="D1" s="8" t="s">
        <v>28</v>
      </c>
      <c r="E1" s="8" t="s">
        <v>32</v>
      </c>
      <c r="F1" s="8" t="s">
        <v>26</v>
      </c>
      <c r="G1" s="8" t="s">
        <v>133</v>
      </c>
      <c r="H1" s="8" t="s">
        <v>30</v>
      </c>
      <c r="I1" s="8" t="s">
        <v>31</v>
      </c>
      <c r="J1" s="8" t="s">
        <v>29</v>
      </c>
      <c r="K1" s="8" t="s">
        <v>35</v>
      </c>
      <c r="L1" s="8" t="s">
        <v>37</v>
      </c>
      <c r="M1" s="8" t="s">
        <v>323</v>
      </c>
      <c r="N1" s="8" t="s">
        <v>324</v>
      </c>
    </row>
    <row r="2">
      <c r="A2" s="9" t="s">
        <v>39</v>
      </c>
      <c r="B2" s="9" t="s">
        <v>43</v>
      </c>
      <c r="C2" s="9" t="str">
        <f>IFERROR(VLOOKUP(B2,CLIENTS!$A$2:$E$91,2,FALSE),"Unassigned")</f>
        <v>Client 008</v>
      </c>
      <c r="D2" s="9" t="str">
        <f>IFERROR(VLOOKUP(B2,CLIENTS!$A$2:$E$91,3,FALSE),"Unassigned")</f>
        <v>Colombia</v>
      </c>
      <c r="E2" s="9" t="str">
        <f>IFERROR(VLOOKUP(B2,CLIENTS!$A$2:$E$91,4,FALSE),"Unassigned")</f>
        <v>SMB</v>
      </c>
      <c r="F2" s="10">
        <v>46032.0</v>
      </c>
      <c r="G2" s="10">
        <v>46023.0</v>
      </c>
      <c r="H2" s="9" t="s">
        <v>46</v>
      </c>
      <c r="I2" s="9" t="s">
        <v>51</v>
      </c>
      <c r="J2" s="9" t="s">
        <v>42</v>
      </c>
      <c r="K2" s="9" t="s">
        <v>55</v>
      </c>
      <c r="L2" s="11">
        <v>787.0</v>
      </c>
      <c r="M2" s="9">
        <f>COUNTIF(ACTIVITIES!$B$2:$B$241,A2)</f>
        <v>1</v>
      </c>
      <c r="N2" s="10">
        <f>IF(M2=0,"",MAXIFS(ACTIVITIES!$C$2:$C$241,ACTIVITIES!$B$2:$B$241,A2))</f>
        <v>46118</v>
      </c>
    </row>
    <row r="3">
      <c r="A3" s="9" t="s">
        <v>62</v>
      </c>
      <c r="B3" s="9" t="s">
        <v>64</v>
      </c>
      <c r="C3" s="9" t="str">
        <f>IFERROR(VLOOKUP(B3,CLIENTS!$A$2:$E$91,2,FALSE),"Unassigned")</f>
        <v>Client 015</v>
      </c>
      <c r="D3" s="9" t="str">
        <f>IFERROR(VLOOKUP(B3,CLIENTS!$A$2:$E$91,3,FALSE),"Unassigned")</f>
        <v>Spain</v>
      </c>
      <c r="E3" s="9" t="str">
        <f>IFERROR(VLOOKUP(B3,CLIENTS!$A$2:$E$91,4,FALSE),"Unassigned")</f>
        <v>Hospitality</v>
      </c>
      <c r="F3" s="10">
        <v>46041.0</v>
      </c>
      <c r="G3" s="10">
        <v>46023.0</v>
      </c>
      <c r="H3" s="9" t="s">
        <v>65</v>
      </c>
      <c r="I3" s="9" t="s">
        <v>68</v>
      </c>
      <c r="J3" s="9" t="s">
        <v>50</v>
      </c>
      <c r="K3" s="9" t="s">
        <v>72</v>
      </c>
      <c r="L3" s="11">
        <v>924.0</v>
      </c>
      <c r="M3" s="9">
        <f>COUNTIF(ACTIVITIES!$B$2:$B$241,A3)</f>
        <v>2</v>
      </c>
      <c r="N3" s="10">
        <f>IF(M3=0,"",MAXIFS(ACTIVITIES!$C$2:$C$241,ACTIVITIES!$B$2:$B$241,A3))</f>
        <v>46238</v>
      </c>
    </row>
    <row r="4">
      <c r="A4" s="9" t="s">
        <v>75</v>
      </c>
      <c r="B4" s="9" t="s">
        <v>77</v>
      </c>
      <c r="C4" s="9" t="str">
        <f>IFERROR(VLOOKUP(B4,CLIENTS!$A$2:$E$91,2,FALSE),"Unassigned")</f>
        <v>Client 022</v>
      </c>
      <c r="D4" s="9" t="str">
        <f>IFERROR(VLOOKUP(B4,CLIENTS!$A$2:$E$91,3,FALSE),"Unassigned")</f>
        <v>United States</v>
      </c>
      <c r="E4" s="9" t="str">
        <f>IFERROR(VLOOKUP(B4,CLIENTS!$A$2:$E$91,4,FALSE),"Unassigned")</f>
        <v>E-commerce</v>
      </c>
      <c r="F4" s="10">
        <v>46050.0</v>
      </c>
      <c r="G4" s="10">
        <v>46023.0</v>
      </c>
      <c r="H4" s="9" t="s">
        <v>79</v>
      </c>
      <c r="I4" s="9" t="s">
        <v>80</v>
      </c>
      <c r="J4" s="9" t="s">
        <v>59</v>
      </c>
      <c r="K4" s="9" t="s">
        <v>83</v>
      </c>
      <c r="L4" s="11">
        <v>1061.0</v>
      </c>
      <c r="M4" s="9">
        <f>COUNTIF(ACTIVITIES!$B$2:$B$241,A4)</f>
        <v>2</v>
      </c>
      <c r="N4" s="10">
        <f>IF(M4=0,"",MAXIFS(ACTIVITIES!$C$2:$C$241,ACTIVITIES!$B$2:$B$241,A4))</f>
        <v>46243</v>
      </c>
    </row>
    <row r="5">
      <c r="A5" s="9" t="s">
        <v>86</v>
      </c>
      <c r="B5" s="9" t="s">
        <v>88</v>
      </c>
      <c r="C5" s="9" t="str">
        <f>IFERROR(VLOOKUP(B5,CLIENTS!$A$2:$E$91,2,FALSE),"Unassigned")</f>
        <v>Client 029</v>
      </c>
      <c r="D5" s="9" t="str">
        <f>IFERROR(VLOOKUP(B5,CLIENTS!$A$2:$E$91,3,FALSE),"Unassigned")</f>
        <v>Mexico</v>
      </c>
      <c r="E5" s="9" t="str">
        <f>IFERROR(VLOOKUP(B5,CLIENTS!$A$2:$E$91,4,FALSE),"Unassigned")</f>
        <v>Professional Services</v>
      </c>
      <c r="F5" s="10">
        <v>46059.0</v>
      </c>
      <c r="G5" s="10">
        <v>46054.0</v>
      </c>
      <c r="H5" s="9" t="s">
        <v>89</v>
      </c>
      <c r="I5" s="9" t="s">
        <v>91</v>
      </c>
      <c r="J5" s="9" t="s">
        <v>71</v>
      </c>
      <c r="K5" s="9" t="s">
        <v>94</v>
      </c>
      <c r="L5" s="11">
        <v>0.0</v>
      </c>
      <c r="M5" s="9">
        <f>COUNTIF(ACTIVITIES!$B$2:$B$241,A5)</f>
        <v>1</v>
      </c>
      <c r="N5" s="10">
        <f>IF(M5=0,"",MAXIFS(ACTIVITIES!$C$2:$C$241,ACTIVITIES!$B$2:$B$241,A5))</f>
        <v>46118</v>
      </c>
    </row>
    <row r="6">
      <c r="A6" s="9" t="s">
        <v>97</v>
      </c>
      <c r="B6" s="9" t="s">
        <v>98</v>
      </c>
      <c r="C6" s="9" t="str">
        <f>IFERROR(VLOOKUP(B6,CLIENTS!$A$2:$E$91,2,FALSE),"Unassigned")</f>
        <v>Client 036</v>
      </c>
      <c r="D6" s="9" t="str">
        <f>IFERROR(VLOOKUP(B6,CLIENTS!$A$2:$E$91,3,FALSE),"Unassigned")</f>
        <v>El Salvador</v>
      </c>
      <c r="E6" s="9" t="str">
        <f>IFERROR(VLOOKUP(B6,CLIENTS!$A$2:$E$91,4,FALSE),"Unassigned")</f>
        <v>SMB</v>
      </c>
      <c r="F6" s="10">
        <v>46068.0</v>
      </c>
      <c r="G6" s="10">
        <v>46054.0</v>
      </c>
      <c r="H6" s="9" t="s">
        <v>100</v>
      </c>
      <c r="I6" s="9" t="s">
        <v>102</v>
      </c>
      <c r="J6" s="9" t="s">
        <v>42</v>
      </c>
      <c r="K6" s="9" t="s">
        <v>105</v>
      </c>
      <c r="L6" s="11">
        <v>1335.0</v>
      </c>
      <c r="M6" s="9">
        <f>COUNTIF(ACTIVITIES!$B$2:$B$241,A6)</f>
        <v>1</v>
      </c>
      <c r="N6" s="10">
        <f>IF(M6=0,"",MAXIFS(ACTIVITIES!$C$2:$C$241,ACTIVITIES!$B$2:$B$241,A6))</f>
        <v>46058</v>
      </c>
    </row>
    <row r="7">
      <c r="A7" s="9" t="s">
        <v>107</v>
      </c>
      <c r="C7" s="9" t="str">
        <f>IFERROR(VLOOKUP(B7,CLIENTS!$A$2:$E$91,2,FALSE),"Unassigned")</f>
        <v>Unassigned</v>
      </c>
      <c r="D7" s="9" t="str">
        <f>IFERROR(VLOOKUP(B7,CLIENTS!$A$2:$E$91,3,FALSE),"Unassigned")</f>
        <v>Unassigned</v>
      </c>
      <c r="E7" s="9" t="str">
        <f>IFERROR(VLOOKUP(B7,CLIENTS!$A$2:$E$91,4,FALSE),"Unassigned")</f>
        <v>Unassigned</v>
      </c>
      <c r="F7" s="10">
        <v>46077.0</v>
      </c>
      <c r="G7" s="10">
        <v>46054.0</v>
      </c>
      <c r="H7" s="9" t="s">
        <v>110</v>
      </c>
      <c r="I7" s="9" t="s">
        <v>51</v>
      </c>
      <c r="J7" s="9" t="s">
        <v>50</v>
      </c>
      <c r="K7" s="9" t="s">
        <v>55</v>
      </c>
      <c r="L7" s="11">
        <v>1472.0</v>
      </c>
      <c r="M7" s="9">
        <f>COUNTIF(ACTIVITIES!$B$2:$B$241,A7)</f>
        <v>2</v>
      </c>
      <c r="N7" s="10">
        <f>IF(M7=0,"",MAXIFS(ACTIVITIES!$C$2:$C$241,ACTIVITIES!$B$2:$B$241,A7))</f>
        <v>46243</v>
      </c>
    </row>
    <row r="8">
      <c r="A8" s="9" t="s">
        <v>114</v>
      </c>
      <c r="B8" s="9" t="s">
        <v>115</v>
      </c>
      <c r="C8" s="9" t="str">
        <f>IFERROR(VLOOKUP(B8,CLIENTS!$A$2:$E$91,2,FALSE),"Unassigned")</f>
        <v>Client 050</v>
      </c>
      <c r="D8" s="9" t="str">
        <f>IFERROR(VLOOKUP(B8,CLIENTS!$A$2:$E$91,3,FALSE),"Unassigned")</f>
        <v>Spain</v>
      </c>
      <c r="E8" s="9" t="str">
        <f>IFERROR(VLOOKUP(B8,CLIENTS!$A$2:$E$91,4,FALSE),"Unassigned")</f>
        <v>E-commerce</v>
      </c>
      <c r="F8" s="10">
        <v>46086.0</v>
      </c>
      <c r="G8" s="10">
        <v>46082.0</v>
      </c>
      <c r="H8" s="9" t="s">
        <v>46</v>
      </c>
      <c r="I8" s="9" t="s">
        <v>68</v>
      </c>
      <c r="J8" s="9" t="s">
        <v>59</v>
      </c>
      <c r="K8" s="9" t="s">
        <v>72</v>
      </c>
      <c r="L8" s="11">
        <v>1609.0</v>
      </c>
      <c r="M8" s="9">
        <f>COUNTIF(ACTIVITIES!$B$2:$B$241,A8)</f>
        <v>2</v>
      </c>
      <c r="N8" s="10">
        <f>IF(M8=0,"",MAXIFS(ACTIVITIES!$C$2:$C$241,ACTIVITIES!$B$2:$B$241,A8))</f>
        <v>46183</v>
      </c>
    </row>
    <row r="9">
      <c r="A9" s="9" t="s">
        <v>121</v>
      </c>
      <c r="B9" s="9" t="s">
        <v>123</v>
      </c>
      <c r="C9" s="9" t="str">
        <f>IFERROR(VLOOKUP(B9,CLIENTS!$A$2:$E$91,2,FALSE),"Unassigned")</f>
        <v>Client 057</v>
      </c>
      <c r="D9" s="9" t="str">
        <f>IFERROR(VLOOKUP(B9,CLIENTS!$A$2:$E$91,3,FALSE),"Unassigned")</f>
        <v>United States</v>
      </c>
      <c r="E9" s="9" t="str">
        <f>IFERROR(VLOOKUP(B9,CLIENTS!$A$2:$E$91,4,FALSE),"Unassigned")</f>
        <v>Professional Services</v>
      </c>
      <c r="F9" s="10">
        <v>46095.0</v>
      </c>
      <c r="G9" s="10">
        <v>46082.0</v>
      </c>
      <c r="H9" s="9" t="s">
        <v>65</v>
      </c>
      <c r="I9" s="9" t="s">
        <v>80</v>
      </c>
      <c r="J9" s="9" t="s">
        <v>71</v>
      </c>
      <c r="K9" s="9" t="s">
        <v>83</v>
      </c>
      <c r="L9" s="11">
        <v>1746.0</v>
      </c>
      <c r="M9" s="9">
        <f>COUNTIF(ACTIVITIES!$B$2:$B$241,A9)</f>
        <v>1</v>
      </c>
      <c r="N9" s="10">
        <f>IF(M9=0,"",MAXIFS(ACTIVITIES!$C$2:$C$241,ACTIVITIES!$B$2:$B$241,A9))</f>
        <v>46058</v>
      </c>
    </row>
    <row r="10">
      <c r="A10" s="9" t="s">
        <v>131</v>
      </c>
      <c r="B10" s="9" t="s">
        <v>132</v>
      </c>
      <c r="C10" s="9" t="str">
        <f>IFERROR(VLOOKUP(B10,CLIENTS!$A$2:$E$91,2,FALSE),"Unassigned")</f>
        <v>Client 064</v>
      </c>
      <c r="D10" s="9" t="str">
        <f>IFERROR(VLOOKUP(B10,CLIENTS!$A$2:$E$91,3,FALSE),"Unassigned")</f>
        <v>Mexico</v>
      </c>
      <c r="E10" s="9" t="str">
        <f>IFERROR(VLOOKUP(B10,CLIENTS!$A$2:$E$91,4,FALSE),"Unassigned")</f>
        <v>SMB</v>
      </c>
      <c r="F10" s="10">
        <v>46104.0</v>
      </c>
      <c r="G10" s="10">
        <v>46082.0</v>
      </c>
      <c r="H10" s="9" t="s">
        <v>79</v>
      </c>
      <c r="I10" s="9" t="s">
        <v>91</v>
      </c>
      <c r="J10" s="9" t="s">
        <v>42</v>
      </c>
      <c r="K10" s="9" t="s">
        <v>94</v>
      </c>
      <c r="L10" s="11">
        <v>0.0</v>
      </c>
      <c r="M10" s="9">
        <f>COUNTIF(ACTIVITIES!$B$2:$B$241,A10)</f>
        <v>1</v>
      </c>
      <c r="N10" s="10">
        <f>IF(M10=0,"",MAXIFS(ACTIVITIES!$C$2:$C$241,ACTIVITIES!$B$2:$B$241,A10))</f>
        <v>46243</v>
      </c>
    </row>
    <row r="11">
      <c r="A11" s="9" t="s">
        <v>126</v>
      </c>
      <c r="B11" s="9" t="s">
        <v>142</v>
      </c>
      <c r="C11" s="9" t="str">
        <f>IFERROR(VLOOKUP(B11,CLIENTS!$A$2:$E$91,2,FALSE),"Unassigned")</f>
        <v>Client 071</v>
      </c>
      <c r="D11" s="9" t="str">
        <f>IFERROR(VLOOKUP(B11,CLIENTS!$A$2:$E$91,3,FALSE),"Unassigned")</f>
        <v>El Salvador</v>
      </c>
      <c r="E11" s="9" t="str">
        <f>IFERROR(VLOOKUP(B11,CLIENTS!$A$2:$E$91,4,FALSE),"Unassigned")</f>
        <v>Hospitality</v>
      </c>
      <c r="F11" s="10">
        <v>46113.0</v>
      </c>
      <c r="G11" s="10">
        <v>46113.0</v>
      </c>
      <c r="H11" s="9" t="s">
        <v>89</v>
      </c>
      <c r="I11" s="9" t="s">
        <v>102</v>
      </c>
      <c r="J11" s="9" t="s">
        <v>50</v>
      </c>
      <c r="K11" s="9" t="s">
        <v>105</v>
      </c>
      <c r="L11" s="11">
        <v>2020.0</v>
      </c>
      <c r="M11" s="9">
        <f>COUNTIF(ACTIVITIES!$B$2:$B$241,A11)</f>
        <v>2</v>
      </c>
      <c r="N11" s="10">
        <f>IF(M11=0,"",MAXIFS(ACTIVITIES!$C$2:$C$241,ACTIVITIES!$B$2:$B$241,A11))</f>
        <v>46183</v>
      </c>
    </row>
    <row r="12">
      <c r="A12" s="9" t="s">
        <v>145</v>
      </c>
      <c r="B12" s="9" t="s">
        <v>148</v>
      </c>
      <c r="C12" s="9" t="str">
        <f>IFERROR(VLOOKUP(B12,CLIENTS!$A$2:$E$91,2,FALSE),"Unassigned")</f>
        <v>Client 078</v>
      </c>
      <c r="D12" s="9" t="str">
        <f>IFERROR(VLOOKUP(B12,CLIENTS!$A$2:$E$91,3,FALSE),"Unassigned")</f>
        <v>Colombia</v>
      </c>
      <c r="E12" s="9" t="str">
        <f>IFERROR(VLOOKUP(B12,CLIENTS!$A$2:$E$91,4,FALSE),"Unassigned")</f>
        <v>E-commerce</v>
      </c>
      <c r="F12" s="10">
        <v>46122.0</v>
      </c>
      <c r="G12" s="10">
        <v>46113.0</v>
      </c>
      <c r="H12" s="9" t="s">
        <v>100</v>
      </c>
      <c r="I12" s="9" t="s">
        <v>51</v>
      </c>
      <c r="J12" s="9" t="s">
        <v>59</v>
      </c>
      <c r="K12" s="9" t="s">
        <v>55</v>
      </c>
      <c r="L12" s="11">
        <v>2157.0</v>
      </c>
      <c r="M12" s="9">
        <f>COUNTIF(ACTIVITIES!$B$2:$B$241,A12)</f>
        <v>2</v>
      </c>
      <c r="N12" s="10">
        <f>IF(M12=0,"",MAXIFS(ACTIVITIES!$C$2:$C$241,ACTIVITIES!$B$2:$B$241,A12))</f>
        <v>46123</v>
      </c>
    </row>
    <row r="13">
      <c r="A13" s="9" t="s">
        <v>152</v>
      </c>
      <c r="C13" s="9" t="str">
        <f>IFERROR(VLOOKUP(B13,CLIENTS!$A$2:$E$91,2,FALSE),"Unassigned")</f>
        <v>Unassigned</v>
      </c>
      <c r="D13" s="9" t="str">
        <f>IFERROR(VLOOKUP(B13,CLIENTS!$A$2:$E$91,3,FALSE),"Unassigned")</f>
        <v>Unassigned</v>
      </c>
      <c r="E13" s="9" t="str">
        <f>IFERROR(VLOOKUP(B13,CLIENTS!$A$2:$E$91,4,FALSE),"Unassigned")</f>
        <v>Unassigned</v>
      </c>
      <c r="F13" s="10">
        <v>46131.0</v>
      </c>
      <c r="G13" s="10">
        <v>46113.0</v>
      </c>
      <c r="H13" s="9" t="s">
        <v>110</v>
      </c>
      <c r="I13" s="9" t="s">
        <v>68</v>
      </c>
      <c r="J13" s="9" t="s">
        <v>71</v>
      </c>
      <c r="K13" s="9" t="s">
        <v>72</v>
      </c>
      <c r="L13" s="11">
        <v>2294.0</v>
      </c>
      <c r="M13" s="9">
        <f>COUNTIF(ACTIVITIES!$B$2:$B$241,A13)</f>
        <v>1</v>
      </c>
      <c r="N13" s="10">
        <f>IF(M13=0,"",MAXIFS(ACTIVITIES!$C$2:$C$241,ACTIVITIES!$B$2:$B$241,A13))</f>
        <v>46243</v>
      </c>
    </row>
    <row r="14">
      <c r="A14" s="9" t="s">
        <v>159</v>
      </c>
      <c r="B14" s="9" t="s">
        <v>53</v>
      </c>
      <c r="C14" s="9" t="str">
        <f>IFERROR(VLOOKUP(B14,CLIENTS!$A$2:$E$91,2,FALSE),"Unassigned")</f>
        <v>Client 002</v>
      </c>
      <c r="D14" s="9" t="str">
        <f>IFERROR(VLOOKUP(B14,CLIENTS!$A$2:$E$91,3,FALSE),"Unassigned")</f>
        <v>United States</v>
      </c>
      <c r="E14" s="9" t="str">
        <f>IFERROR(VLOOKUP(B14,CLIENTS!$A$2:$E$91,4,FALSE),"Unassigned")</f>
        <v>E-commerce</v>
      </c>
      <c r="F14" s="10">
        <v>46140.0</v>
      </c>
      <c r="G14" s="10">
        <v>46113.0</v>
      </c>
      <c r="H14" s="9" t="s">
        <v>46</v>
      </c>
      <c r="I14" s="9" t="s">
        <v>80</v>
      </c>
      <c r="J14" s="9" t="s">
        <v>42</v>
      </c>
      <c r="K14" s="9" t="s">
        <v>83</v>
      </c>
      <c r="L14" s="11">
        <v>2431.0</v>
      </c>
      <c r="M14" s="9">
        <f>COUNTIF(ACTIVITIES!$B$2:$B$241,A14)</f>
        <v>1</v>
      </c>
      <c r="N14" s="10">
        <f>IF(M14=0,"",MAXIFS(ACTIVITIES!$C$2:$C$241,ACTIVITIES!$B$2:$B$241,A14))</f>
        <v>46183</v>
      </c>
    </row>
    <row r="15">
      <c r="A15" s="9" t="s">
        <v>36</v>
      </c>
      <c r="B15" s="9" t="s">
        <v>122</v>
      </c>
      <c r="C15" s="9" t="str">
        <f>IFERROR(VLOOKUP(B15,CLIENTS!$A$2:$E$91,2,FALSE),"Unassigned")</f>
        <v>Client 009</v>
      </c>
      <c r="D15" s="9" t="str">
        <f>IFERROR(VLOOKUP(B15,CLIENTS!$A$2:$E$91,3,FALSE),"Unassigned")</f>
        <v>Mexico</v>
      </c>
      <c r="E15" s="9" t="str">
        <f>IFERROR(VLOOKUP(B15,CLIENTS!$A$2:$E$91,4,FALSE),"Unassigned")</f>
        <v>Professional Services</v>
      </c>
      <c r="F15" s="10">
        <v>46149.0</v>
      </c>
      <c r="G15" s="10">
        <v>46143.0</v>
      </c>
      <c r="H15" s="9" t="s">
        <v>65</v>
      </c>
      <c r="I15" s="9" t="s">
        <v>91</v>
      </c>
      <c r="J15" s="9" t="s">
        <v>50</v>
      </c>
      <c r="K15" s="9" t="s">
        <v>94</v>
      </c>
      <c r="L15" s="11">
        <v>0.0</v>
      </c>
      <c r="M15" s="9">
        <f>COUNTIF(ACTIVITIES!$B$2:$B$241,A15)</f>
        <v>2</v>
      </c>
      <c r="N15" s="10">
        <f>IF(M15=0,"",MAXIFS(ACTIVITIES!$C$2:$C$241,ACTIVITIES!$B$2:$B$241,A15))</f>
        <v>46123</v>
      </c>
    </row>
    <row r="16">
      <c r="A16" s="9" t="s">
        <v>167</v>
      </c>
      <c r="B16" s="9" t="s">
        <v>169</v>
      </c>
      <c r="C16" s="9" t="str">
        <f>IFERROR(VLOOKUP(B16,CLIENTS!$A$2:$E$91,2,FALSE),"Unassigned")</f>
        <v>Client 016</v>
      </c>
      <c r="D16" s="9" t="str">
        <f>IFERROR(VLOOKUP(B16,CLIENTS!$A$2:$E$91,3,FALSE),"Unassigned")</f>
        <v>El Salvador</v>
      </c>
      <c r="E16" s="9" t="str">
        <f>IFERROR(VLOOKUP(B16,CLIENTS!$A$2:$E$91,4,FALSE),"Unassigned")</f>
        <v>SMB</v>
      </c>
      <c r="F16" s="10">
        <v>46158.0</v>
      </c>
      <c r="G16" s="10">
        <v>46143.0</v>
      </c>
      <c r="H16" s="9" t="s">
        <v>79</v>
      </c>
      <c r="I16" s="9" t="s">
        <v>102</v>
      </c>
      <c r="J16" s="9" t="s">
        <v>59</v>
      </c>
      <c r="K16" s="9" t="s">
        <v>105</v>
      </c>
      <c r="L16" s="11">
        <v>2705.0</v>
      </c>
      <c r="M16" s="9">
        <f>COUNTIF(ACTIVITIES!$B$2:$B$241,A16)</f>
        <v>2</v>
      </c>
      <c r="N16" s="10">
        <f>IF(M16=0,"",MAXIFS(ACTIVITIES!$C$2:$C$241,ACTIVITIES!$B$2:$B$241,A16))</f>
        <v>46243</v>
      </c>
    </row>
    <row r="17">
      <c r="A17" s="9" t="s">
        <v>173</v>
      </c>
      <c r="B17" s="9" t="s">
        <v>174</v>
      </c>
      <c r="C17" s="9" t="str">
        <f>IFERROR(VLOOKUP(B17,CLIENTS!$A$2:$E$91,2,FALSE),"Unassigned")</f>
        <v>Client 023</v>
      </c>
      <c r="D17" s="9" t="str">
        <f>IFERROR(VLOOKUP(B17,CLIENTS!$A$2:$E$91,3,FALSE),"Unassigned")</f>
        <v>Colombia</v>
      </c>
      <c r="E17" s="9" t="str">
        <f>IFERROR(VLOOKUP(B17,CLIENTS!$A$2:$E$91,4,FALSE),"Unassigned")</f>
        <v>Hospitality</v>
      </c>
      <c r="F17" s="10">
        <v>46167.0</v>
      </c>
      <c r="G17" s="10">
        <v>46143.0</v>
      </c>
      <c r="H17" s="9" t="s">
        <v>89</v>
      </c>
      <c r="I17" s="9" t="s">
        <v>51</v>
      </c>
      <c r="J17" s="9" t="s">
        <v>71</v>
      </c>
      <c r="K17" s="9" t="s">
        <v>55</v>
      </c>
      <c r="L17" s="11">
        <v>2842.0</v>
      </c>
      <c r="M17" s="9">
        <f>COUNTIF(ACTIVITIES!$B$2:$B$241,A17)</f>
        <v>2</v>
      </c>
      <c r="N17" s="10">
        <f>IF(M17=0,"",MAXIFS(ACTIVITIES!$C$2:$C$241,ACTIVITIES!$B$2:$B$241,A17))</f>
        <v>46248</v>
      </c>
    </row>
    <row r="18">
      <c r="A18" s="9" t="s">
        <v>181</v>
      </c>
      <c r="B18" s="9" t="s">
        <v>182</v>
      </c>
      <c r="C18" s="9" t="str">
        <f>IFERROR(VLOOKUP(B18,CLIENTS!$A$2:$E$91,2,FALSE),"Unassigned")</f>
        <v>Client 030</v>
      </c>
      <c r="D18" s="9" t="str">
        <f>IFERROR(VLOOKUP(B18,CLIENTS!$A$2:$E$91,3,FALSE),"Unassigned")</f>
        <v>Spain</v>
      </c>
      <c r="E18" s="9" t="str">
        <f>IFERROR(VLOOKUP(B18,CLIENTS!$A$2:$E$91,4,FALSE),"Unassigned")</f>
        <v>E-commerce</v>
      </c>
      <c r="F18" s="10">
        <v>46176.0</v>
      </c>
      <c r="G18" s="10">
        <v>46174.0</v>
      </c>
      <c r="H18" s="9" t="s">
        <v>100</v>
      </c>
      <c r="I18" s="9" t="s">
        <v>68</v>
      </c>
      <c r="J18" s="9" t="s">
        <v>42</v>
      </c>
      <c r="K18" s="9" t="s">
        <v>72</v>
      </c>
      <c r="L18" s="11">
        <v>2979.0</v>
      </c>
      <c r="M18" s="9">
        <f>COUNTIF(ACTIVITIES!$B$2:$B$241,A18)</f>
        <v>1</v>
      </c>
      <c r="N18" s="10">
        <f>IF(M18=0,"",MAXIFS(ACTIVITIES!$C$2:$C$241,ACTIVITIES!$B$2:$B$241,A18))</f>
        <v>46123</v>
      </c>
    </row>
    <row r="19">
      <c r="A19" s="9" t="s">
        <v>189</v>
      </c>
      <c r="C19" s="9" t="str">
        <f>IFERROR(VLOOKUP(B19,CLIENTS!$A$2:$E$91,2,FALSE),"Unassigned")</f>
        <v>Unassigned</v>
      </c>
      <c r="D19" s="9" t="str">
        <f>IFERROR(VLOOKUP(B19,CLIENTS!$A$2:$E$91,3,FALSE),"Unassigned")</f>
        <v>Unassigned</v>
      </c>
      <c r="E19" s="9" t="str">
        <f>IFERROR(VLOOKUP(B19,CLIENTS!$A$2:$E$91,4,FALSE),"Unassigned")</f>
        <v>Unassigned</v>
      </c>
      <c r="F19" s="10">
        <v>46185.0</v>
      </c>
      <c r="G19" s="10">
        <v>46174.0</v>
      </c>
      <c r="H19" s="9" t="s">
        <v>110</v>
      </c>
      <c r="I19" s="9" t="s">
        <v>80</v>
      </c>
      <c r="J19" s="9" t="s">
        <v>50</v>
      </c>
      <c r="K19" s="9" t="s">
        <v>83</v>
      </c>
      <c r="L19" s="11">
        <v>3116.0</v>
      </c>
      <c r="M19" s="9">
        <f>COUNTIF(ACTIVITIES!$B$2:$B$241,A19)</f>
        <v>1</v>
      </c>
      <c r="N19" s="10">
        <f>IF(M19=0,"",MAXIFS(ACTIVITIES!$C$2:$C$241,ACTIVITIES!$B$2:$B$241,A19))</f>
        <v>46063</v>
      </c>
    </row>
    <row r="20">
      <c r="A20" s="9" t="s">
        <v>176</v>
      </c>
      <c r="B20" s="9" t="s">
        <v>195</v>
      </c>
      <c r="C20" s="9" t="str">
        <f>IFERROR(VLOOKUP(B20,CLIENTS!$A$2:$E$91,2,FALSE),"Unassigned")</f>
        <v>Client 044</v>
      </c>
      <c r="D20" s="9" t="str">
        <f>IFERROR(VLOOKUP(B20,CLIENTS!$A$2:$E$91,3,FALSE),"Unassigned")</f>
        <v>Mexico</v>
      </c>
      <c r="E20" s="9" t="str">
        <f>IFERROR(VLOOKUP(B20,CLIENTS!$A$2:$E$91,4,FALSE),"Unassigned")</f>
        <v>SMB</v>
      </c>
      <c r="F20" s="10">
        <v>46194.0</v>
      </c>
      <c r="G20" s="10">
        <v>46174.0</v>
      </c>
      <c r="H20" s="9" t="s">
        <v>46</v>
      </c>
      <c r="I20" s="9" t="s">
        <v>91</v>
      </c>
      <c r="J20" s="9" t="s">
        <v>59</v>
      </c>
      <c r="K20" s="9" t="s">
        <v>94</v>
      </c>
      <c r="L20" s="11">
        <v>0.0</v>
      </c>
      <c r="M20" s="9">
        <f>COUNTIF(ACTIVITIES!$B$2:$B$241,A20)</f>
        <v>2</v>
      </c>
      <c r="N20" s="10">
        <f>IF(M20=0,"",MAXIFS(ACTIVITIES!$C$2:$C$241,ACTIVITIES!$B$2:$B$241,A20))</f>
        <v>46248</v>
      </c>
    </row>
    <row r="21" ht="15.75" customHeight="1">
      <c r="A21" s="9" t="s">
        <v>201</v>
      </c>
      <c r="B21" s="9" t="s">
        <v>203</v>
      </c>
      <c r="C21" s="9" t="str">
        <f>IFERROR(VLOOKUP(B21,CLIENTS!$A$2:$E$91,2,FALSE),"Unassigned")</f>
        <v>Client 051</v>
      </c>
      <c r="D21" s="9" t="str">
        <f>IFERROR(VLOOKUP(B21,CLIENTS!$A$2:$E$91,3,FALSE),"Unassigned")</f>
        <v>El Salvador</v>
      </c>
      <c r="E21" s="9" t="str">
        <f>IFERROR(VLOOKUP(B21,CLIENTS!$A$2:$E$91,4,FALSE),"Unassigned")</f>
        <v>Hospitality</v>
      </c>
      <c r="F21" s="10">
        <v>46203.0</v>
      </c>
      <c r="G21" s="10">
        <v>46174.0</v>
      </c>
      <c r="H21" s="9" t="s">
        <v>65</v>
      </c>
      <c r="I21" s="9" t="s">
        <v>102</v>
      </c>
      <c r="J21" s="9" t="s">
        <v>71</v>
      </c>
      <c r="K21" s="9" t="s">
        <v>105</v>
      </c>
      <c r="L21" s="11">
        <v>3390.0</v>
      </c>
      <c r="M21" s="9">
        <f>COUNTIF(ACTIVITIES!$B$2:$B$241,A21)</f>
        <v>2</v>
      </c>
      <c r="N21" s="10">
        <f>IF(M21=0,"",MAXIFS(ACTIVITIES!$C$2:$C$241,ACTIVITIES!$B$2:$B$241,A21))</f>
        <v>46188</v>
      </c>
    </row>
    <row r="22" ht="15.75" customHeight="1">
      <c r="A22" s="9" t="s">
        <v>208</v>
      </c>
      <c r="B22" s="9" t="s">
        <v>212</v>
      </c>
      <c r="C22" s="9" t="str">
        <f>IFERROR(VLOOKUP(B22,CLIENTS!$A$2:$E$91,2,FALSE),"Unassigned")</f>
        <v>Client 058</v>
      </c>
      <c r="D22" s="9" t="str">
        <f>IFERROR(VLOOKUP(B22,CLIENTS!$A$2:$E$91,3,FALSE),"Unassigned")</f>
        <v>Colombia</v>
      </c>
      <c r="E22" s="9" t="str">
        <f>IFERROR(VLOOKUP(B22,CLIENTS!$A$2:$E$91,4,FALSE),"Unassigned")</f>
        <v>E-commerce</v>
      </c>
      <c r="F22" s="10">
        <v>46212.0</v>
      </c>
      <c r="G22" s="10">
        <v>46204.0</v>
      </c>
      <c r="H22" s="9" t="s">
        <v>79</v>
      </c>
      <c r="I22" s="9" t="s">
        <v>51</v>
      </c>
      <c r="J22" s="9" t="s">
        <v>42</v>
      </c>
      <c r="K22" s="9" t="s">
        <v>55</v>
      </c>
      <c r="L22" s="11">
        <v>3527.0</v>
      </c>
      <c r="M22" s="9">
        <f>COUNTIF(ACTIVITIES!$B$2:$B$241,A22)</f>
        <v>1</v>
      </c>
      <c r="N22" s="10">
        <f>IF(M22=0,"",MAXIFS(ACTIVITIES!$C$2:$C$241,ACTIVITIES!$B$2:$B$241,A22))</f>
        <v>46063</v>
      </c>
    </row>
    <row r="23" ht="15.75" customHeight="1">
      <c r="A23" s="9" t="s">
        <v>218</v>
      </c>
      <c r="B23" s="9" t="s">
        <v>220</v>
      </c>
      <c r="C23" s="9" t="str">
        <f>IFERROR(VLOOKUP(B23,CLIENTS!$A$2:$E$91,2,FALSE),"Unassigned")</f>
        <v>Client 065</v>
      </c>
      <c r="D23" s="9" t="str">
        <f>IFERROR(VLOOKUP(B23,CLIENTS!$A$2:$E$91,3,FALSE),"Unassigned")</f>
        <v>Spain</v>
      </c>
      <c r="E23" s="9" t="str">
        <f>IFERROR(VLOOKUP(B23,CLIENTS!$A$2:$E$91,4,FALSE),"Unassigned")</f>
        <v>Professional Services</v>
      </c>
      <c r="F23" s="10">
        <v>46221.0</v>
      </c>
      <c r="G23" s="10">
        <v>46204.0</v>
      </c>
      <c r="H23" s="9" t="s">
        <v>89</v>
      </c>
      <c r="I23" s="9" t="s">
        <v>68</v>
      </c>
      <c r="J23" s="9" t="s">
        <v>50</v>
      </c>
      <c r="K23" s="9" t="s">
        <v>72</v>
      </c>
      <c r="L23" s="11">
        <v>3664.0</v>
      </c>
      <c r="M23" s="9">
        <f>COUNTIF(ACTIVITIES!$B$2:$B$241,A23)</f>
        <v>1</v>
      </c>
      <c r="N23" s="10">
        <f>IF(M23=0,"",MAXIFS(ACTIVITIES!$C$2:$C$241,ACTIVITIES!$B$2:$B$241,A23))</f>
        <v>46248</v>
      </c>
    </row>
    <row r="24" ht="15.75" customHeight="1">
      <c r="A24" s="9" t="s">
        <v>129</v>
      </c>
      <c r="B24" s="9" t="s">
        <v>225</v>
      </c>
      <c r="C24" s="9" t="str">
        <f>IFERROR(VLOOKUP(B24,CLIENTS!$A$2:$E$91,2,FALSE),"Unassigned")</f>
        <v>Client 072</v>
      </c>
      <c r="D24" s="9" t="str">
        <f>IFERROR(VLOOKUP(B24,CLIENTS!$A$2:$E$91,3,FALSE),"Unassigned")</f>
        <v>United States</v>
      </c>
      <c r="E24" s="9" t="str">
        <f>IFERROR(VLOOKUP(B24,CLIENTS!$A$2:$E$91,4,FALSE),"Unassigned")</f>
        <v>SMB</v>
      </c>
      <c r="F24" s="10">
        <v>46230.0</v>
      </c>
      <c r="G24" s="10">
        <v>46204.0</v>
      </c>
      <c r="H24" s="9" t="s">
        <v>100</v>
      </c>
      <c r="I24" s="9" t="s">
        <v>80</v>
      </c>
      <c r="J24" s="9" t="s">
        <v>59</v>
      </c>
      <c r="K24" s="9" t="s">
        <v>83</v>
      </c>
      <c r="L24" s="11">
        <v>3801.0</v>
      </c>
      <c r="M24" s="9">
        <f>COUNTIF(ACTIVITIES!$B$2:$B$241,A24)</f>
        <v>2</v>
      </c>
      <c r="N24" s="10">
        <f>IF(M24=0,"",MAXIFS(ACTIVITIES!$C$2:$C$241,ACTIVITIES!$B$2:$B$241,A24))</f>
        <v>46188</v>
      </c>
    </row>
    <row r="25" ht="15.75" customHeight="1">
      <c r="A25" s="9" t="s">
        <v>230</v>
      </c>
      <c r="C25" s="9" t="str">
        <f>IFERROR(VLOOKUP(B25,CLIENTS!$A$2:$E$91,2,FALSE),"Unassigned")</f>
        <v>Unassigned</v>
      </c>
      <c r="D25" s="9" t="str">
        <f>IFERROR(VLOOKUP(B25,CLIENTS!$A$2:$E$91,3,FALSE),"Unassigned")</f>
        <v>Unassigned</v>
      </c>
      <c r="E25" s="9" t="str">
        <f>IFERROR(VLOOKUP(B25,CLIENTS!$A$2:$E$91,4,FALSE),"Unassigned")</f>
        <v>Unassigned</v>
      </c>
      <c r="F25" s="10">
        <v>46239.0</v>
      </c>
      <c r="G25" s="10">
        <v>46235.0</v>
      </c>
      <c r="H25" s="9" t="s">
        <v>110</v>
      </c>
      <c r="I25" s="9" t="s">
        <v>91</v>
      </c>
      <c r="J25" s="9" t="s">
        <v>71</v>
      </c>
      <c r="K25" s="9" t="s">
        <v>94</v>
      </c>
      <c r="L25" s="11">
        <v>0.0</v>
      </c>
      <c r="M25" s="9">
        <f>COUNTIF(ACTIVITIES!$B$2:$B$241,A25)</f>
        <v>2</v>
      </c>
      <c r="N25" s="10">
        <f>IF(M25=0,"",MAXIFS(ACTIVITIES!$C$2:$C$241,ACTIVITIES!$B$2:$B$241,A25))</f>
        <v>46128</v>
      </c>
    </row>
    <row r="26" ht="15.75" customHeight="1">
      <c r="A26" s="9" t="s">
        <v>237</v>
      </c>
      <c r="B26" s="9" t="s">
        <v>238</v>
      </c>
      <c r="C26" s="9" t="str">
        <f>IFERROR(VLOOKUP(B26,CLIENTS!$A$2:$E$91,2,FALSE),"Unassigned")</f>
        <v>Client 086</v>
      </c>
      <c r="D26" s="9" t="str">
        <f>IFERROR(VLOOKUP(B26,CLIENTS!$A$2:$E$91,3,FALSE),"Unassigned")</f>
        <v>El Salvador</v>
      </c>
      <c r="E26" s="9" t="str">
        <f>IFERROR(VLOOKUP(B26,CLIENTS!$A$2:$E$91,4,FALSE),"Unassigned")</f>
        <v>E-commerce</v>
      </c>
      <c r="F26" s="10">
        <v>46248.0</v>
      </c>
      <c r="G26" s="10">
        <v>46235.0</v>
      </c>
      <c r="H26" s="9" t="s">
        <v>46</v>
      </c>
      <c r="I26" s="9" t="s">
        <v>102</v>
      </c>
      <c r="J26" s="9" t="s">
        <v>42</v>
      </c>
      <c r="K26" s="9" t="s">
        <v>105</v>
      </c>
      <c r="L26" s="11">
        <v>4075.0</v>
      </c>
      <c r="M26" s="9">
        <f>COUNTIF(ACTIVITIES!$B$2:$B$241,A26)</f>
        <v>1</v>
      </c>
      <c r="N26" s="10">
        <f>IF(M26=0,"",MAXIFS(ACTIVITIES!$C$2:$C$241,ACTIVITIES!$B$2:$B$241,A26))</f>
        <v>46248</v>
      </c>
    </row>
    <row r="27" ht="15.75" customHeight="1">
      <c r="A27" s="9" t="s">
        <v>243</v>
      </c>
      <c r="B27" s="9" t="s">
        <v>66</v>
      </c>
      <c r="C27" s="9" t="str">
        <f>IFERROR(VLOOKUP(B27,CLIENTS!$A$2:$E$91,2,FALSE),"Unassigned")</f>
        <v>Client 003</v>
      </c>
      <c r="D27" s="9" t="str">
        <f>IFERROR(VLOOKUP(B27,CLIENTS!$A$2:$E$91,3,FALSE),"Unassigned")</f>
        <v>Colombia</v>
      </c>
      <c r="E27" s="9" t="str">
        <f>IFERROR(VLOOKUP(B27,CLIENTS!$A$2:$E$91,4,FALSE),"Unassigned")</f>
        <v>Hospitality</v>
      </c>
      <c r="F27" s="10">
        <v>46257.0</v>
      </c>
      <c r="G27" s="10">
        <v>46235.0</v>
      </c>
      <c r="H27" s="9" t="s">
        <v>65</v>
      </c>
      <c r="I27" s="9" t="s">
        <v>51</v>
      </c>
      <c r="J27" s="9" t="s">
        <v>50</v>
      </c>
      <c r="K27" s="9" t="s">
        <v>55</v>
      </c>
      <c r="L27" s="11">
        <v>4212.0</v>
      </c>
      <c r="M27" s="9">
        <f>COUNTIF(ACTIVITIES!$B$2:$B$241,A27)</f>
        <v>1</v>
      </c>
      <c r="N27" s="10">
        <f>IF(M27=0,"",MAXIFS(ACTIVITIES!$C$2:$C$241,ACTIVITIES!$B$2:$B$241,A27))</f>
        <v>46188</v>
      </c>
    </row>
    <row r="28" ht="15.75" customHeight="1">
      <c r="A28" s="9" t="s">
        <v>47</v>
      </c>
      <c r="B28" s="9" t="s">
        <v>127</v>
      </c>
      <c r="C28" s="9" t="str">
        <f>IFERROR(VLOOKUP(B28,CLIENTS!$A$2:$E$91,2,FALSE),"Unassigned")</f>
        <v>Client 010</v>
      </c>
      <c r="D28" s="9" t="str">
        <f>IFERROR(VLOOKUP(B28,CLIENTS!$A$2:$E$91,3,FALSE),"Unassigned")</f>
        <v>Spain</v>
      </c>
      <c r="E28" s="9" t="str">
        <f>IFERROR(VLOOKUP(B28,CLIENTS!$A$2:$E$91,4,FALSE),"Unassigned")</f>
        <v>E-commerce</v>
      </c>
      <c r="F28" s="10">
        <v>46026.0</v>
      </c>
      <c r="G28" s="10">
        <v>46023.0</v>
      </c>
      <c r="H28" s="9" t="s">
        <v>79</v>
      </c>
      <c r="I28" s="9" t="s">
        <v>68</v>
      </c>
      <c r="J28" s="9" t="s">
        <v>59</v>
      </c>
      <c r="K28" s="9" t="s">
        <v>72</v>
      </c>
      <c r="L28" s="11">
        <v>4349.0</v>
      </c>
      <c r="M28" s="9">
        <f>COUNTIF(ACTIVITIES!$B$2:$B$241,A28)</f>
        <v>2</v>
      </c>
      <c r="N28" s="10">
        <f>IF(M28=0,"",MAXIFS(ACTIVITIES!$C$2:$C$241,ACTIVITIES!$B$2:$B$241,A28))</f>
        <v>46128</v>
      </c>
    </row>
    <row r="29" ht="15.75" customHeight="1">
      <c r="A29" s="9" t="s">
        <v>229</v>
      </c>
      <c r="B29" s="9" t="s">
        <v>177</v>
      </c>
      <c r="C29" s="9" t="str">
        <f>IFERROR(VLOOKUP(B29,CLIENTS!$A$2:$E$91,2,FALSE),"Unassigned")</f>
        <v>Client 017</v>
      </c>
      <c r="D29" s="9" t="str">
        <f>IFERROR(VLOOKUP(B29,CLIENTS!$A$2:$E$91,3,FALSE),"Unassigned")</f>
        <v>United States</v>
      </c>
      <c r="E29" s="9" t="str">
        <f>IFERROR(VLOOKUP(B29,CLIENTS!$A$2:$E$91,4,FALSE),"Unassigned")</f>
        <v>Professional Services</v>
      </c>
      <c r="F29" s="10">
        <v>46035.0</v>
      </c>
      <c r="G29" s="10">
        <v>46023.0</v>
      </c>
      <c r="H29" s="9" t="s">
        <v>89</v>
      </c>
      <c r="I29" s="9" t="s">
        <v>80</v>
      </c>
      <c r="J29" s="9" t="s">
        <v>71</v>
      </c>
      <c r="K29" s="9" t="s">
        <v>83</v>
      </c>
      <c r="L29" s="11">
        <v>4486.0</v>
      </c>
      <c r="M29" s="9">
        <f>COUNTIF(ACTIVITIES!$B$2:$B$241,A29)</f>
        <v>2</v>
      </c>
      <c r="N29" s="10">
        <f>IF(M29=0,"",MAXIFS(ACTIVITIES!$C$2:$C$241,ACTIVITIES!$B$2:$B$241,A29))</f>
        <v>46248</v>
      </c>
    </row>
    <row r="30" ht="15.75" customHeight="1">
      <c r="A30" s="9" t="s">
        <v>258</v>
      </c>
      <c r="B30" s="9" t="s">
        <v>217</v>
      </c>
      <c r="C30" s="9" t="str">
        <f>IFERROR(VLOOKUP(B30,CLIENTS!$A$2:$E$91,2,FALSE),"Unassigned")</f>
        <v>Client 024</v>
      </c>
      <c r="D30" s="9" t="str">
        <f>IFERROR(VLOOKUP(B30,CLIENTS!$A$2:$E$91,3,FALSE),"Unassigned")</f>
        <v>Mexico</v>
      </c>
      <c r="E30" s="9" t="str">
        <f>IFERROR(VLOOKUP(B30,CLIENTS!$A$2:$E$91,4,FALSE),"Unassigned")</f>
        <v>SMB</v>
      </c>
      <c r="F30" s="10">
        <v>46044.0</v>
      </c>
      <c r="G30" s="10">
        <v>46023.0</v>
      </c>
      <c r="H30" s="9" t="s">
        <v>100</v>
      </c>
      <c r="I30" s="9" t="s">
        <v>91</v>
      </c>
      <c r="J30" s="9" t="s">
        <v>42</v>
      </c>
      <c r="K30" s="9" t="s">
        <v>94</v>
      </c>
      <c r="L30" s="11">
        <v>0.0</v>
      </c>
      <c r="M30" s="9">
        <f>COUNTIF(ACTIVITIES!$B$2:$B$241,A30)</f>
        <v>2</v>
      </c>
      <c r="N30" s="10">
        <f>IF(M30=0,"",MAXIFS(ACTIVITIES!$C$2:$C$241,ACTIVITIES!$B$2:$B$241,A30))</f>
        <v>46253</v>
      </c>
    </row>
    <row r="31" ht="15.75" customHeight="1">
      <c r="A31" s="9" t="s">
        <v>264</v>
      </c>
      <c r="C31" s="9" t="str">
        <f>IFERROR(VLOOKUP(B31,CLIENTS!$A$2:$E$91,2,FALSE),"Unassigned")</f>
        <v>Unassigned</v>
      </c>
      <c r="D31" s="9" t="str">
        <f>IFERROR(VLOOKUP(B31,CLIENTS!$A$2:$E$91,3,FALSE),"Unassigned")</f>
        <v>Unassigned</v>
      </c>
      <c r="E31" s="9" t="str">
        <f>IFERROR(VLOOKUP(B31,CLIENTS!$A$2:$E$91,4,FALSE),"Unassigned")</f>
        <v>Unassigned</v>
      </c>
      <c r="F31" s="10">
        <v>46053.0</v>
      </c>
      <c r="G31" s="10">
        <v>46023.0</v>
      </c>
      <c r="H31" s="9" t="s">
        <v>110</v>
      </c>
      <c r="I31" s="9" t="s">
        <v>102</v>
      </c>
      <c r="J31" s="9" t="s">
        <v>50</v>
      </c>
      <c r="K31" s="9" t="s">
        <v>105</v>
      </c>
      <c r="L31" s="11">
        <v>4760.0</v>
      </c>
      <c r="M31" s="9">
        <f>COUNTIF(ACTIVITIES!$B$2:$B$241,A31)</f>
        <v>1</v>
      </c>
      <c r="N31" s="10">
        <f>IF(M31=0,"",MAXIFS(ACTIVITIES!$C$2:$C$241,ACTIVITIES!$B$2:$B$241,A31))</f>
        <v>46128</v>
      </c>
    </row>
    <row r="32" ht="15.75" customHeight="1">
      <c r="A32" s="9" t="s">
        <v>268</v>
      </c>
      <c r="B32" s="9" t="s">
        <v>269</v>
      </c>
      <c r="C32" s="9" t="str">
        <f>IFERROR(VLOOKUP(B32,CLIENTS!$A$2:$E$91,2,FALSE),"Unassigned")</f>
        <v>Client 038</v>
      </c>
      <c r="D32" s="9" t="str">
        <f>IFERROR(VLOOKUP(B32,CLIENTS!$A$2:$E$91,3,FALSE),"Unassigned")</f>
        <v>Colombia</v>
      </c>
      <c r="E32" s="9" t="str">
        <f>IFERROR(VLOOKUP(B32,CLIENTS!$A$2:$E$91,4,FALSE),"Unassigned")</f>
        <v>E-commerce</v>
      </c>
      <c r="F32" s="10">
        <v>46062.0</v>
      </c>
      <c r="G32" s="10">
        <v>46054.0</v>
      </c>
      <c r="H32" s="9" t="s">
        <v>46</v>
      </c>
      <c r="I32" s="9" t="s">
        <v>51</v>
      </c>
      <c r="J32" s="9" t="s">
        <v>59</v>
      </c>
      <c r="K32" s="9" t="s">
        <v>55</v>
      </c>
      <c r="L32" s="11">
        <v>4897.0</v>
      </c>
      <c r="M32" s="9">
        <f>COUNTIF(ACTIVITIES!$B$2:$B$241,A32)</f>
        <v>1</v>
      </c>
      <c r="N32" s="10">
        <f>IF(M32=0,"",MAXIFS(ACTIVITIES!$C$2:$C$241,ACTIVITIES!$B$2:$B$241,A32))</f>
        <v>46068</v>
      </c>
    </row>
    <row r="33" ht="15.75" customHeight="1">
      <c r="A33" s="9" t="s">
        <v>180</v>
      </c>
      <c r="B33" s="9" t="s">
        <v>274</v>
      </c>
      <c r="C33" s="9" t="str">
        <f>IFERROR(VLOOKUP(B33,CLIENTS!$A$2:$E$91,2,FALSE),"Unassigned")</f>
        <v>Client 045</v>
      </c>
      <c r="D33" s="9" t="str">
        <f>IFERROR(VLOOKUP(B33,CLIENTS!$A$2:$E$91,3,FALSE),"Unassigned")</f>
        <v>Spain</v>
      </c>
      <c r="E33" s="9" t="str">
        <f>IFERROR(VLOOKUP(B33,CLIENTS!$A$2:$E$91,4,FALSE),"Unassigned")</f>
        <v>Professional Services</v>
      </c>
      <c r="F33" s="10">
        <v>46071.0</v>
      </c>
      <c r="G33" s="10">
        <v>46054.0</v>
      </c>
      <c r="H33" s="9" t="s">
        <v>65</v>
      </c>
      <c r="I33" s="9" t="s">
        <v>68</v>
      </c>
      <c r="J33" s="9" t="s">
        <v>71</v>
      </c>
      <c r="K33" s="9" t="s">
        <v>72</v>
      </c>
      <c r="L33" s="11">
        <v>5034.0</v>
      </c>
      <c r="M33" s="9">
        <f>COUNTIF(ACTIVITIES!$B$2:$B$241,A33)</f>
        <v>2</v>
      </c>
      <c r="N33" s="10">
        <f>IF(M33=0,"",MAXIFS(ACTIVITIES!$C$2:$C$241,ACTIVITIES!$B$2:$B$241,A33))</f>
        <v>46253</v>
      </c>
    </row>
    <row r="34" ht="15.75" customHeight="1">
      <c r="A34" s="9" t="s">
        <v>279</v>
      </c>
      <c r="B34" s="9" t="s">
        <v>280</v>
      </c>
      <c r="C34" s="9" t="str">
        <f>IFERROR(VLOOKUP(B34,CLIENTS!$A$2:$E$91,2,FALSE),"Unassigned")</f>
        <v>Client 052</v>
      </c>
      <c r="D34" s="9" t="str">
        <f>IFERROR(VLOOKUP(B34,CLIENTS!$A$2:$E$91,3,FALSE),"Unassigned")</f>
        <v>United States</v>
      </c>
      <c r="E34" s="9" t="str">
        <f>IFERROR(VLOOKUP(B34,CLIENTS!$A$2:$E$91,4,FALSE),"Unassigned")</f>
        <v>SMB</v>
      </c>
      <c r="F34" s="10">
        <v>46080.0</v>
      </c>
      <c r="G34" s="10">
        <v>46054.0</v>
      </c>
      <c r="H34" s="9" t="s">
        <v>79</v>
      </c>
      <c r="I34" s="9" t="s">
        <v>80</v>
      </c>
      <c r="J34" s="9" t="s">
        <v>42</v>
      </c>
      <c r="K34" s="9" t="s">
        <v>83</v>
      </c>
      <c r="L34" s="11">
        <v>5171.0</v>
      </c>
      <c r="M34" s="9">
        <f>COUNTIF(ACTIVITIES!$B$2:$B$241,A34)</f>
        <v>2</v>
      </c>
      <c r="N34" s="10">
        <f>IF(M34=0,"",MAXIFS(ACTIVITIES!$C$2:$C$241,ACTIVITIES!$B$2:$B$241,A34))</f>
        <v>46193</v>
      </c>
    </row>
    <row r="35" ht="15.75" customHeight="1">
      <c r="A35" s="9" t="s">
        <v>285</v>
      </c>
      <c r="B35" s="9" t="s">
        <v>286</v>
      </c>
      <c r="C35" s="9" t="str">
        <f>IFERROR(VLOOKUP(B35,CLIENTS!$A$2:$E$91,2,FALSE),"Unassigned")</f>
        <v>Client 059</v>
      </c>
      <c r="D35" s="9" t="str">
        <f>IFERROR(VLOOKUP(B35,CLIENTS!$A$2:$E$91,3,FALSE),"Unassigned")</f>
        <v>Mexico</v>
      </c>
      <c r="E35" s="9" t="str">
        <f>IFERROR(VLOOKUP(B35,CLIENTS!$A$2:$E$91,4,FALSE),"Unassigned")</f>
        <v>Hospitality</v>
      </c>
      <c r="F35" s="10">
        <v>46089.0</v>
      </c>
      <c r="G35" s="10">
        <v>46082.0</v>
      </c>
      <c r="H35" s="9" t="s">
        <v>89</v>
      </c>
      <c r="I35" s="9" t="s">
        <v>91</v>
      </c>
      <c r="J35" s="9" t="s">
        <v>50</v>
      </c>
      <c r="K35" s="9" t="s">
        <v>94</v>
      </c>
      <c r="L35" s="11">
        <v>0.0</v>
      </c>
      <c r="M35" s="9">
        <f>COUNTIF(ACTIVITIES!$B$2:$B$241,A35)</f>
        <v>1</v>
      </c>
      <c r="N35" s="10">
        <f>IF(M35=0,"",MAXIFS(ACTIVITIES!$C$2:$C$241,ACTIVITIES!$B$2:$B$241,A35))</f>
        <v>46068</v>
      </c>
    </row>
    <row r="36" ht="15.75" customHeight="1">
      <c r="A36" s="9" t="s">
        <v>291</v>
      </c>
      <c r="B36" s="9" t="s">
        <v>292</v>
      </c>
      <c r="C36" s="9" t="str">
        <f>IFERROR(VLOOKUP(B36,CLIENTS!$A$2:$E$91,2,FALSE),"Unassigned")</f>
        <v>Client 066</v>
      </c>
      <c r="D36" s="9" t="str">
        <f>IFERROR(VLOOKUP(B36,CLIENTS!$A$2:$E$91,3,FALSE),"Unassigned")</f>
        <v>El Salvador</v>
      </c>
      <c r="E36" s="9" t="str">
        <f>IFERROR(VLOOKUP(B36,CLIENTS!$A$2:$E$91,4,FALSE),"Unassigned")</f>
        <v>E-commerce</v>
      </c>
      <c r="F36" s="10">
        <v>46098.0</v>
      </c>
      <c r="G36" s="10">
        <v>46082.0</v>
      </c>
      <c r="H36" s="9" t="s">
        <v>100</v>
      </c>
      <c r="I36" s="9" t="s">
        <v>102</v>
      </c>
      <c r="J36" s="9" t="s">
        <v>59</v>
      </c>
      <c r="K36" s="9" t="s">
        <v>105</v>
      </c>
      <c r="L36" s="11">
        <v>845.0</v>
      </c>
      <c r="M36" s="9">
        <f>COUNTIF(ACTIVITIES!$B$2:$B$241,A36)</f>
        <v>1</v>
      </c>
      <c r="N36" s="10">
        <f>IF(M36=0,"",MAXIFS(ACTIVITIES!$C$2:$C$241,ACTIVITIES!$B$2:$B$241,A36))</f>
        <v>46253</v>
      </c>
    </row>
    <row r="37" ht="15.75" customHeight="1">
      <c r="A37" s="9" t="s">
        <v>136</v>
      </c>
      <c r="C37" s="9" t="str">
        <f>IFERROR(VLOOKUP(B37,CLIENTS!$A$2:$E$91,2,FALSE),"Unassigned")</f>
        <v>Unassigned</v>
      </c>
      <c r="D37" s="9" t="str">
        <f>IFERROR(VLOOKUP(B37,CLIENTS!$A$2:$E$91,3,FALSE),"Unassigned")</f>
        <v>Unassigned</v>
      </c>
      <c r="E37" s="9" t="str">
        <f>IFERROR(VLOOKUP(B37,CLIENTS!$A$2:$E$91,4,FALSE),"Unassigned")</f>
        <v>Unassigned</v>
      </c>
      <c r="F37" s="10">
        <v>46107.0</v>
      </c>
      <c r="G37" s="10">
        <v>46082.0</v>
      </c>
      <c r="H37" s="9" t="s">
        <v>110</v>
      </c>
      <c r="I37" s="9" t="s">
        <v>51</v>
      </c>
      <c r="J37" s="9" t="s">
        <v>71</v>
      </c>
      <c r="K37" s="9" t="s">
        <v>55</v>
      </c>
      <c r="L37" s="11">
        <v>982.0</v>
      </c>
      <c r="M37" s="9">
        <f>COUNTIF(ACTIVITIES!$B$2:$B$241,A37)</f>
        <v>2</v>
      </c>
      <c r="N37" s="10">
        <f>IF(M37=0,"",MAXIFS(ACTIVITIES!$C$2:$C$241,ACTIVITIES!$B$2:$B$241,A37))</f>
        <v>46193</v>
      </c>
    </row>
    <row r="38" ht="15.75" customHeight="1">
      <c r="A38" s="9" t="s">
        <v>290</v>
      </c>
      <c r="B38" s="9" t="s">
        <v>306</v>
      </c>
      <c r="C38" s="9" t="str">
        <f>IFERROR(VLOOKUP(B38,CLIENTS!$A$2:$E$91,2,FALSE),"Unassigned")</f>
        <v>Client 080</v>
      </c>
      <c r="D38" s="9" t="str">
        <f>IFERROR(VLOOKUP(B38,CLIENTS!$A$2:$E$91,3,FALSE),"Unassigned")</f>
        <v>Spain</v>
      </c>
      <c r="E38" s="9" t="str">
        <f>IFERROR(VLOOKUP(B38,CLIENTS!$A$2:$E$91,4,FALSE),"Unassigned")</f>
        <v>SMB</v>
      </c>
      <c r="F38" s="10">
        <v>46116.0</v>
      </c>
      <c r="G38" s="10">
        <v>46113.0</v>
      </c>
      <c r="H38" s="9" t="s">
        <v>46</v>
      </c>
      <c r="I38" s="9" t="s">
        <v>68</v>
      </c>
      <c r="J38" s="9" t="s">
        <v>42</v>
      </c>
      <c r="K38" s="9" t="s">
        <v>72</v>
      </c>
      <c r="L38" s="11">
        <v>1119.0</v>
      </c>
      <c r="M38" s="9">
        <f>COUNTIF(ACTIVITIES!$B$2:$B$241,A38)</f>
        <v>2</v>
      </c>
      <c r="N38" s="10">
        <f>IF(M38=0,"",MAXIFS(ACTIVITIES!$C$2:$C$241,ACTIVITIES!$B$2:$B$241,A38))</f>
        <v>46133</v>
      </c>
    </row>
    <row r="39" ht="15.75" customHeight="1">
      <c r="A39" s="9" t="s">
        <v>310</v>
      </c>
      <c r="B39" s="9" t="s">
        <v>311</v>
      </c>
      <c r="C39" s="9" t="str">
        <f>IFERROR(VLOOKUP(B39,CLIENTS!$A$2:$E$91,2,FALSE),"Unassigned")</f>
        <v>Client 087</v>
      </c>
      <c r="D39" s="9" t="str">
        <f>IFERROR(VLOOKUP(B39,CLIENTS!$A$2:$E$91,3,FALSE),"Unassigned")</f>
        <v>United States</v>
      </c>
      <c r="E39" s="9" t="str">
        <f>IFERROR(VLOOKUP(B39,CLIENTS!$A$2:$E$91,4,FALSE),"Unassigned")</f>
        <v>Hospitality</v>
      </c>
      <c r="F39" s="10">
        <v>46125.0</v>
      </c>
      <c r="G39" s="10">
        <v>46113.0</v>
      </c>
      <c r="H39" s="9" t="s">
        <v>65</v>
      </c>
      <c r="I39" s="9" t="s">
        <v>80</v>
      </c>
      <c r="J39" s="9" t="s">
        <v>50</v>
      </c>
      <c r="K39" s="9" t="s">
        <v>83</v>
      </c>
      <c r="L39" s="11">
        <v>1256.0</v>
      </c>
      <c r="M39" s="9">
        <f>COUNTIF(ACTIVITIES!$B$2:$B$241,A39)</f>
        <v>1</v>
      </c>
      <c r="N39" s="10">
        <f>IF(M39=0,"",MAXIFS(ACTIVITIES!$C$2:$C$241,ACTIVITIES!$B$2:$B$241,A39))</f>
        <v>46253</v>
      </c>
    </row>
    <row r="40" ht="15.75" customHeight="1">
      <c r="A40" s="9" t="s">
        <v>316</v>
      </c>
      <c r="B40" s="9" t="s">
        <v>78</v>
      </c>
      <c r="C40" s="9" t="str">
        <f>IFERROR(VLOOKUP(B40,CLIENTS!$A$2:$E$91,2,FALSE),"Unassigned")</f>
        <v>Client 004</v>
      </c>
      <c r="D40" s="9" t="str">
        <f>IFERROR(VLOOKUP(B40,CLIENTS!$A$2:$E$91,3,FALSE),"Unassigned")</f>
        <v>Mexico</v>
      </c>
      <c r="E40" s="9" t="str">
        <f>IFERROR(VLOOKUP(B40,CLIENTS!$A$2:$E$91,4,FALSE),"Unassigned")</f>
        <v>SMB</v>
      </c>
      <c r="F40" s="10">
        <v>46134.0</v>
      </c>
      <c r="G40" s="10">
        <v>46113.0</v>
      </c>
      <c r="H40" s="9" t="s">
        <v>79</v>
      </c>
      <c r="I40" s="9" t="s">
        <v>91</v>
      </c>
      <c r="J40" s="9" t="s">
        <v>59</v>
      </c>
      <c r="K40" s="9" t="s">
        <v>94</v>
      </c>
      <c r="L40" s="11">
        <v>0.0</v>
      </c>
      <c r="M40" s="9">
        <f>COUNTIF(ACTIVITIES!$B$2:$B$241,A40)</f>
        <v>1</v>
      </c>
      <c r="N40" s="10">
        <f>IF(M40=0,"",MAXIFS(ACTIVITIES!$C$2:$C$241,ACTIVITIES!$B$2:$B$241,A40))</f>
        <v>46193</v>
      </c>
    </row>
    <row r="41" ht="15.75" customHeight="1">
      <c r="A41" s="9" t="s">
        <v>54</v>
      </c>
      <c r="B41" s="9" t="s">
        <v>135</v>
      </c>
      <c r="C41" s="9" t="str">
        <f>IFERROR(VLOOKUP(B41,CLIENTS!$A$2:$E$91,2,FALSE),"Unassigned")</f>
        <v>Client 011</v>
      </c>
      <c r="D41" s="9" t="str">
        <f>IFERROR(VLOOKUP(B41,CLIENTS!$A$2:$E$91,3,FALSE),"Unassigned")</f>
        <v>El Salvador</v>
      </c>
      <c r="E41" s="9" t="str">
        <f>IFERROR(VLOOKUP(B41,CLIENTS!$A$2:$E$91,4,FALSE),"Unassigned")</f>
        <v>Hospitality</v>
      </c>
      <c r="F41" s="10">
        <v>46143.0</v>
      </c>
      <c r="G41" s="10">
        <v>46143.0</v>
      </c>
      <c r="H41" s="9" t="s">
        <v>89</v>
      </c>
      <c r="I41" s="9" t="s">
        <v>102</v>
      </c>
      <c r="J41" s="9" t="s">
        <v>71</v>
      </c>
      <c r="K41" s="9" t="s">
        <v>105</v>
      </c>
      <c r="L41" s="11">
        <v>1530.0</v>
      </c>
      <c r="M41" s="9">
        <f>COUNTIF(ACTIVITIES!$B$2:$B$241,A41)</f>
        <v>2</v>
      </c>
      <c r="N41" s="10">
        <f>IF(M41=0,"",MAXIFS(ACTIVITIES!$C$2:$C$241,ACTIVITIES!$B$2:$B$241,A41))</f>
        <v>46133</v>
      </c>
    </row>
    <row r="42" ht="15.75" customHeight="1">
      <c r="A42" s="9" t="s">
        <v>234</v>
      </c>
      <c r="B42" s="9" t="s">
        <v>184</v>
      </c>
      <c r="C42" s="9" t="str">
        <f>IFERROR(VLOOKUP(B42,CLIENTS!$A$2:$E$91,2,FALSE),"Unassigned")</f>
        <v>Client 018</v>
      </c>
      <c r="D42" s="9" t="str">
        <f>IFERROR(VLOOKUP(B42,CLIENTS!$A$2:$E$91,3,FALSE),"Unassigned")</f>
        <v>Colombia</v>
      </c>
      <c r="E42" s="9" t="str">
        <f>IFERROR(VLOOKUP(B42,CLIENTS!$A$2:$E$91,4,FALSE),"Unassigned")</f>
        <v>E-commerce</v>
      </c>
      <c r="F42" s="10">
        <v>46152.0</v>
      </c>
      <c r="G42" s="10">
        <v>46143.0</v>
      </c>
      <c r="H42" s="9" t="s">
        <v>100</v>
      </c>
      <c r="I42" s="9" t="s">
        <v>51</v>
      </c>
      <c r="J42" s="9" t="s">
        <v>42</v>
      </c>
      <c r="K42" s="9" t="s">
        <v>55</v>
      </c>
      <c r="L42" s="11">
        <v>1667.0</v>
      </c>
      <c r="M42" s="9">
        <f>COUNTIF(ACTIVITIES!$B$2:$B$241,A42)</f>
        <v>2</v>
      </c>
      <c r="N42" s="10">
        <f>IF(M42=0,"",MAXIFS(ACTIVITIES!$C$2:$C$241,ACTIVITIES!$B$2:$B$241,A42))</f>
        <v>46253</v>
      </c>
    </row>
    <row r="43" ht="15.75" customHeight="1">
      <c r="A43" s="9" t="s">
        <v>338</v>
      </c>
      <c r="C43" s="9" t="str">
        <f>IFERROR(VLOOKUP(B43,CLIENTS!$A$2:$E$91,2,FALSE),"Unassigned")</f>
        <v>Unassigned</v>
      </c>
      <c r="D43" s="9" t="str">
        <f>IFERROR(VLOOKUP(B43,CLIENTS!$A$2:$E$91,3,FALSE),"Unassigned")</f>
        <v>Unassigned</v>
      </c>
      <c r="E43" s="9" t="str">
        <f>IFERROR(VLOOKUP(B43,CLIENTS!$A$2:$E$91,4,FALSE),"Unassigned")</f>
        <v>Unassigned</v>
      </c>
      <c r="F43" s="10">
        <v>46161.0</v>
      </c>
      <c r="G43" s="10">
        <v>46143.0</v>
      </c>
      <c r="H43" s="9" t="s">
        <v>110</v>
      </c>
      <c r="I43" s="9" t="s">
        <v>68</v>
      </c>
      <c r="J43" s="9" t="s">
        <v>50</v>
      </c>
      <c r="K43" s="9" t="s">
        <v>72</v>
      </c>
      <c r="L43" s="11">
        <v>1804.0</v>
      </c>
      <c r="M43" s="9">
        <f>COUNTIF(ACTIVITIES!$B$2:$B$241,A43)</f>
        <v>2</v>
      </c>
      <c r="N43" s="10">
        <f>IF(M43=0,"",MAXIFS(ACTIVITIES!$C$2:$C$241,ACTIVITIES!$B$2:$B$241,A43))</f>
        <v>46258</v>
      </c>
    </row>
    <row r="44" ht="15.75" customHeight="1">
      <c r="A44" s="9" t="s">
        <v>344</v>
      </c>
      <c r="B44" s="9" t="s">
        <v>252</v>
      </c>
      <c r="C44" s="9" t="str">
        <f>IFERROR(VLOOKUP(B44,CLIENTS!$A$2:$E$91,2,FALSE),"Unassigned")</f>
        <v>Client 032</v>
      </c>
      <c r="D44" s="9" t="str">
        <f>IFERROR(VLOOKUP(B44,CLIENTS!$A$2:$E$91,3,FALSE),"Unassigned")</f>
        <v>United States</v>
      </c>
      <c r="E44" s="9" t="str">
        <f>IFERROR(VLOOKUP(B44,CLIENTS!$A$2:$E$91,4,FALSE),"Unassigned")</f>
        <v>SMB</v>
      </c>
      <c r="F44" s="10">
        <v>46170.0</v>
      </c>
      <c r="G44" s="10">
        <v>46143.0</v>
      </c>
      <c r="H44" s="9" t="s">
        <v>46</v>
      </c>
      <c r="I44" s="9" t="s">
        <v>80</v>
      </c>
      <c r="J44" s="9" t="s">
        <v>59</v>
      </c>
      <c r="K44" s="9" t="s">
        <v>83</v>
      </c>
      <c r="L44" s="11">
        <v>1941.0</v>
      </c>
      <c r="M44" s="9">
        <f>COUNTIF(ACTIVITIES!$B$2:$B$241,A44)</f>
        <v>1</v>
      </c>
      <c r="N44" s="10">
        <f>IF(M44=0,"",MAXIFS(ACTIVITIES!$C$2:$C$241,ACTIVITIES!$B$2:$B$241,A44))</f>
        <v>46133</v>
      </c>
    </row>
    <row r="45" ht="15.75" customHeight="1">
      <c r="A45" s="9" t="s">
        <v>349</v>
      </c>
      <c r="B45" s="9" t="s">
        <v>282</v>
      </c>
      <c r="C45" s="9" t="str">
        <f>IFERROR(VLOOKUP(B45,CLIENTS!$A$2:$E$91,2,FALSE),"Unassigned")</f>
        <v>Client 039</v>
      </c>
      <c r="D45" s="9" t="str">
        <f>IFERROR(VLOOKUP(B45,CLIENTS!$A$2:$E$91,3,FALSE),"Unassigned")</f>
        <v>Mexico</v>
      </c>
      <c r="E45" s="9" t="str">
        <f>IFERROR(VLOOKUP(B45,CLIENTS!$A$2:$E$91,4,FALSE),"Unassigned")</f>
        <v>Hospitality</v>
      </c>
      <c r="F45" s="10">
        <v>46179.0</v>
      </c>
      <c r="G45" s="10">
        <v>46174.0</v>
      </c>
      <c r="H45" s="9" t="s">
        <v>65</v>
      </c>
      <c r="I45" s="9" t="s">
        <v>91</v>
      </c>
      <c r="J45" s="9" t="s">
        <v>71</v>
      </c>
      <c r="K45" s="9" t="s">
        <v>94</v>
      </c>
      <c r="L45" s="11">
        <v>0.0</v>
      </c>
      <c r="M45" s="9">
        <f>COUNTIF(ACTIVITIES!$B$2:$B$241,A45)</f>
        <v>1</v>
      </c>
      <c r="N45" s="10">
        <f>IF(M45=0,"",MAXIFS(ACTIVITIES!$C$2:$C$241,ACTIVITIES!$B$2:$B$241,A45))</f>
        <v>46073</v>
      </c>
    </row>
    <row r="46" ht="15.75" customHeight="1">
      <c r="A46" s="9" t="s">
        <v>185</v>
      </c>
      <c r="B46" s="9" t="s">
        <v>312</v>
      </c>
      <c r="C46" s="9" t="str">
        <f>IFERROR(VLOOKUP(B46,CLIENTS!$A$2:$E$91,2,FALSE),"Unassigned")</f>
        <v>Client 046</v>
      </c>
      <c r="D46" s="9" t="str">
        <f>IFERROR(VLOOKUP(B46,CLIENTS!$A$2:$E$91,3,FALSE),"Unassigned")</f>
        <v>El Salvador</v>
      </c>
      <c r="E46" s="9" t="str">
        <f>IFERROR(VLOOKUP(B46,CLIENTS!$A$2:$E$91,4,FALSE),"Unassigned")</f>
        <v>E-commerce</v>
      </c>
      <c r="F46" s="10">
        <v>46188.0</v>
      </c>
      <c r="G46" s="10">
        <v>46174.0</v>
      </c>
      <c r="H46" s="9" t="s">
        <v>79</v>
      </c>
      <c r="I46" s="9" t="s">
        <v>102</v>
      </c>
      <c r="J46" s="9" t="s">
        <v>42</v>
      </c>
      <c r="K46" s="9" t="s">
        <v>105</v>
      </c>
      <c r="L46" s="11">
        <v>2215.0</v>
      </c>
      <c r="M46" s="9">
        <f>COUNTIF(ACTIVITIES!$B$2:$B$241,A46)</f>
        <v>2</v>
      </c>
      <c r="N46" s="10">
        <f>IF(M46=0,"",MAXIFS(ACTIVITIES!$C$2:$C$241,ACTIVITIES!$B$2:$B$241,A46))</f>
        <v>46258</v>
      </c>
    </row>
    <row r="47" ht="15.75" customHeight="1">
      <c r="A47" s="9" t="s">
        <v>351</v>
      </c>
      <c r="B47" s="9" t="s">
        <v>337</v>
      </c>
      <c r="C47" s="9" t="str">
        <f>IFERROR(VLOOKUP(B47,CLIENTS!$A$2:$E$91,2,FALSE),"Unassigned")</f>
        <v>Client 053</v>
      </c>
      <c r="D47" s="9" t="str">
        <f>IFERROR(VLOOKUP(B47,CLIENTS!$A$2:$E$91,3,FALSE),"Unassigned")</f>
        <v>Colombia</v>
      </c>
      <c r="E47" s="9" t="str">
        <f>IFERROR(VLOOKUP(B47,CLIENTS!$A$2:$E$91,4,FALSE),"Unassigned")</f>
        <v>Professional Services</v>
      </c>
      <c r="F47" s="10">
        <v>46197.0</v>
      </c>
      <c r="G47" s="10">
        <v>46174.0</v>
      </c>
      <c r="H47" s="9" t="s">
        <v>89</v>
      </c>
      <c r="I47" s="9" t="s">
        <v>51</v>
      </c>
      <c r="J47" s="9" t="s">
        <v>50</v>
      </c>
      <c r="K47" s="9" t="s">
        <v>55</v>
      </c>
      <c r="L47" s="11">
        <v>2352.0</v>
      </c>
      <c r="M47" s="9">
        <f>COUNTIF(ACTIVITIES!$B$2:$B$241,A47)</f>
        <v>2</v>
      </c>
      <c r="N47" s="10">
        <f>IF(M47=0,"",MAXIFS(ACTIVITIES!$C$2:$C$241,ACTIVITIES!$B$2:$B$241,A47))</f>
        <v>46198</v>
      </c>
    </row>
    <row r="48" ht="15.75" customHeight="1">
      <c r="A48" s="9" t="s">
        <v>364</v>
      </c>
      <c r="B48" s="9" t="s">
        <v>359</v>
      </c>
      <c r="C48" s="9" t="str">
        <f>IFERROR(VLOOKUP(B48,CLIENTS!$A$2:$E$91,2,FALSE),"Unassigned")</f>
        <v>Client 060</v>
      </c>
      <c r="D48" s="9" t="str">
        <f>IFERROR(VLOOKUP(B48,CLIENTS!$A$2:$E$91,3,FALSE),"Unassigned")</f>
        <v>Spain</v>
      </c>
      <c r="E48" s="9" t="str">
        <f>IFERROR(VLOOKUP(B48,CLIENTS!$A$2:$E$91,4,FALSE),"Unassigned")</f>
        <v>SMB</v>
      </c>
      <c r="F48" s="10">
        <v>46206.0</v>
      </c>
      <c r="G48" s="10">
        <v>46204.0</v>
      </c>
      <c r="H48" s="9" t="s">
        <v>100</v>
      </c>
      <c r="I48" s="9" t="s">
        <v>68</v>
      </c>
      <c r="J48" s="9" t="s">
        <v>59</v>
      </c>
      <c r="K48" s="9" t="s">
        <v>72</v>
      </c>
      <c r="L48" s="11">
        <v>2489.0</v>
      </c>
      <c r="M48" s="9">
        <f>COUNTIF(ACTIVITIES!$B$2:$B$241,A48)</f>
        <v>1</v>
      </c>
      <c r="N48" s="10">
        <f>IF(M48=0,"",MAXIFS(ACTIVITIES!$C$2:$C$241,ACTIVITIES!$B$2:$B$241,A48))</f>
        <v>46073</v>
      </c>
    </row>
    <row r="49" ht="15.75" customHeight="1">
      <c r="A49" s="9" t="s">
        <v>371</v>
      </c>
      <c r="C49" s="9" t="str">
        <f>IFERROR(VLOOKUP(B49,CLIENTS!$A$2:$E$91,2,FALSE),"Unassigned")</f>
        <v>Unassigned</v>
      </c>
      <c r="D49" s="9" t="str">
        <f>IFERROR(VLOOKUP(B49,CLIENTS!$A$2:$E$91,3,FALSE),"Unassigned")</f>
        <v>Unassigned</v>
      </c>
      <c r="E49" s="9" t="str">
        <f>IFERROR(VLOOKUP(B49,CLIENTS!$A$2:$E$91,4,FALSE),"Unassigned")</f>
        <v>Unassigned</v>
      </c>
      <c r="F49" s="10">
        <v>46215.0</v>
      </c>
      <c r="G49" s="10">
        <v>46204.0</v>
      </c>
      <c r="H49" s="9" t="s">
        <v>110</v>
      </c>
      <c r="I49" s="9" t="s">
        <v>80</v>
      </c>
      <c r="J49" s="9" t="s">
        <v>71</v>
      </c>
      <c r="K49" s="9" t="s">
        <v>83</v>
      </c>
      <c r="L49" s="11">
        <v>2626.0</v>
      </c>
      <c r="M49" s="9">
        <f>COUNTIF(ACTIVITIES!$B$2:$B$241,A49)</f>
        <v>1</v>
      </c>
      <c r="N49" s="10">
        <f>IF(M49=0,"",MAXIFS(ACTIVITIES!$C$2:$C$241,ACTIVITIES!$B$2:$B$241,A49))</f>
        <v>46258</v>
      </c>
    </row>
    <row r="50" ht="15.75" customHeight="1">
      <c r="A50" s="9" t="s">
        <v>140</v>
      </c>
      <c r="B50" s="9" t="s">
        <v>377</v>
      </c>
      <c r="C50" s="9" t="str">
        <f>IFERROR(VLOOKUP(B50,CLIENTS!$A$2:$E$91,2,FALSE),"Unassigned")</f>
        <v>Client 074</v>
      </c>
      <c r="D50" s="9" t="str">
        <f>IFERROR(VLOOKUP(B50,CLIENTS!$A$2:$E$91,3,FALSE),"Unassigned")</f>
        <v>Mexico</v>
      </c>
      <c r="E50" s="9" t="str">
        <f>IFERROR(VLOOKUP(B50,CLIENTS!$A$2:$E$91,4,FALSE),"Unassigned")</f>
        <v>E-commerce</v>
      </c>
      <c r="F50" s="10">
        <v>46224.0</v>
      </c>
      <c r="G50" s="10">
        <v>46204.0</v>
      </c>
      <c r="H50" s="9" t="s">
        <v>46</v>
      </c>
      <c r="I50" s="9" t="s">
        <v>91</v>
      </c>
      <c r="J50" s="9" t="s">
        <v>42</v>
      </c>
      <c r="K50" s="9" t="s">
        <v>94</v>
      </c>
      <c r="L50" s="11">
        <v>0.0</v>
      </c>
      <c r="M50" s="9">
        <f>COUNTIF(ACTIVITIES!$B$2:$B$241,A50)</f>
        <v>2</v>
      </c>
      <c r="N50" s="10">
        <f>IF(M50=0,"",MAXIFS(ACTIVITIES!$C$2:$C$241,ACTIVITIES!$B$2:$B$241,A50))</f>
        <v>46198</v>
      </c>
    </row>
    <row r="51" ht="15.75" customHeight="1">
      <c r="A51" s="9" t="s">
        <v>296</v>
      </c>
      <c r="B51" s="9" t="s">
        <v>384</v>
      </c>
      <c r="C51" s="9" t="str">
        <f>IFERROR(VLOOKUP(B51,CLIENTS!$A$2:$E$91,2,FALSE),"Unassigned")</f>
        <v>Client 081</v>
      </c>
      <c r="D51" s="9" t="str">
        <f>IFERROR(VLOOKUP(B51,CLIENTS!$A$2:$E$91,3,FALSE),"Unassigned")</f>
        <v>El Salvador</v>
      </c>
      <c r="E51" s="9" t="str">
        <f>IFERROR(VLOOKUP(B51,CLIENTS!$A$2:$E$91,4,FALSE),"Unassigned")</f>
        <v>Professional Services</v>
      </c>
      <c r="F51" s="10">
        <v>46233.0</v>
      </c>
      <c r="G51" s="10">
        <v>46204.0</v>
      </c>
      <c r="H51" s="9" t="s">
        <v>65</v>
      </c>
      <c r="I51" s="9" t="s">
        <v>102</v>
      </c>
      <c r="J51" s="9" t="s">
        <v>50</v>
      </c>
      <c r="K51" s="9" t="s">
        <v>105</v>
      </c>
      <c r="L51" s="11">
        <v>2900.0</v>
      </c>
      <c r="M51" s="9">
        <f>COUNTIF(ACTIVITIES!$B$2:$B$241,A51)</f>
        <v>2</v>
      </c>
      <c r="N51" s="10">
        <f>IF(M51=0,"",MAXIFS(ACTIVITIES!$C$2:$C$241,ACTIVITIES!$B$2:$B$241,A51))</f>
        <v>46138</v>
      </c>
    </row>
    <row r="52" ht="15.75" customHeight="1">
      <c r="A52" s="9" t="s">
        <v>390</v>
      </c>
      <c r="B52" s="9" t="s">
        <v>391</v>
      </c>
      <c r="C52" s="9" t="str">
        <f>IFERROR(VLOOKUP(B52,CLIENTS!$A$2:$E$91,2,FALSE),"Unassigned")</f>
        <v>Client 088</v>
      </c>
      <c r="D52" s="9" t="str">
        <f>IFERROR(VLOOKUP(B52,CLIENTS!$A$2:$E$91,3,FALSE),"Unassigned")</f>
        <v>Colombia</v>
      </c>
      <c r="E52" s="9" t="str">
        <f>IFERROR(VLOOKUP(B52,CLIENTS!$A$2:$E$91,4,FALSE),"Unassigned")</f>
        <v>SMB</v>
      </c>
      <c r="F52" s="10">
        <v>46242.0</v>
      </c>
      <c r="G52" s="10">
        <v>46235.0</v>
      </c>
      <c r="H52" s="9" t="s">
        <v>79</v>
      </c>
      <c r="I52" s="9" t="s">
        <v>51</v>
      </c>
      <c r="J52" s="9" t="s">
        <v>59</v>
      </c>
      <c r="K52" s="9" t="s">
        <v>55</v>
      </c>
      <c r="L52" s="11">
        <v>3037.0</v>
      </c>
      <c r="M52" s="9">
        <f>COUNTIF(ACTIVITIES!$B$2:$B$241,A52)</f>
        <v>1</v>
      </c>
      <c r="N52" s="10">
        <f>IF(M52=0,"",MAXIFS(ACTIVITIES!$C$2:$C$241,ACTIVITIES!$B$2:$B$241,A52))</f>
        <v>46258</v>
      </c>
    </row>
    <row r="53" ht="15.75" customHeight="1">
      <c r="A53" s="9" t="s">
        <v>395</v>
      </c>
      <c r="B53" s="9" t="s">
        <v>90</v>
      </c>
      <c r="C53" s="9" t="str">
        <f>IFERROR(VLOOKUP(B53,CLIENTS!$A$2:$E$91,2,FALSE),"Unassigned")</f>
        <v>Client 005</v>
      </c>
      <c r="D53" s="9" t="str">
        <f>IFERROR(VLOOKUP(B53,CLIENTS!$A$2:$E$91,3,FALSE),"Unassigned")</f>
        <v>Spain</v>
      </c>
      <c r="E53" s="9" t="str">
        <f>IFERROR(VLOOKUP(B53,CLIENTS!$A$2:$E$91,4,FALSE),"Unassigned")</f>
        <v>Professional Services</v>
      </c>
      <c r="F53" s="10">
        <v>46251.0</v>
      </c>
      <c r="G53" s="10">
        <v>46235.0</v>
      </c>
      <c r="H53" s="9" t="s">
        <v>89</v>
      </c>
      <c r="I53" s="9" t="s">
        <v>68</v>
      </c>
      <c r="J53" s="9" t="s">
        <v>71</v>
      </c>
      <c r="K53" s="9" t="s">
        <v>72</v>
      </c>
      <c r="L53" s="11">
        <v>3174.0</v>
      </c>
      <c r="M53" s="9">
        <f>COUNTIF(ACTIVITIES!$B$2:$B$241,A53)</f>
        <v>1</v>
      </c>
      <c r="N53" s="10">
        <f>IF(M53=0,"",MAXIFS(ACTIVITIES!$C$2:$C$241,ACTIVITIES!$B$2:$B$241,A53))</f>
        <v>46198</v>
      </c>
    </row>
    <row r="54" ht="15.75" customHeight="1">
      <c r="A54" s="9" t="s">
        <v>63</v>
      </c>
      <c r="B54" s="9" t="s">
        <v>141</v>
      </c>
      <c r="C54" s="9" t="str">
        <f>IFERROR(VLOOKUP(B54,CLIENTS!$A$2:$E$91,2,FALSE),"Unassigned")</f>
        <v>Client 012</v>
      </c>
      <c r="D54" s="9" t="str">
        <f>IFERROR(VLOOKUP(B54,CLIENTS!$A$2:$E$91,3,FALSE),"Unassigned")</f>
        <v>United States</v>
      </c>
      <c r="E54" s="9" t="str">
        <f>IFERROR(VLOOKUP(B54,CLIENTS!$A$2:$E$91,4,FALSE),"Unassigned")</f>
        <v>SMB</v>
      </c>
      <c r="F54" s="10">
        <v>46260.0</v>
      </c>
      <c r="G54" s="10">
        <v>46235.0</v>
      </c>
      <c r="H54" s="9" t="s">
        <v>100</v>
      </c>
      <c r="I54" s="9" t="s">
        <v>80</v>
      </c>
      <c r="J54" s="9" t="s">
        <v>42</v>
      </c>
      <c r="K54" s="9" t="s">
        <v>83</v>
      </c>
      <c r="L54" s="11">
        <v>3311.0</v>
      </c>
      <c r="M54" s="9">
        <f>COUNTIF(ACTIVITIES!$B$2:$B$241,A54)</f>
        <v>2</v>
      </c>
      <c r="N54" s="10">
        <f>IF(M54=0,"",MAXIFS(ACTIVITIES!$C$2:$C$241,ACTIVITIES!$B$2:$B$241,A54))</f>
        <v>46138</v>
      </c>
    </row>
    <row r="55" ht="15.75" customHeight="1">
      <c r="A55" s="9" t="s">
        <v>240</v>
      </c>
      <c r="C55" s="9" t="str">
        <f>IFERROR(VLOOKUP(B55,CLIENTS!$A$2:$E$91,2,FALSE),"Unassigned")</f>
        <v>Unassigned</v>
      </c>
      <c r="D55" s="9" t="str">
        <f>IFERROR(VLOOKUP(B55,CLIENTS!$A$2:$E$91,3,FALSE),"Unassigned")</f>
        <v>Unassigned</v>
      </c>
      <c r="E55" s="9" t="str">
        <f>IFERROR(VLOOKUP(B55,CLIENTS!$A$2:$E$91,4,FALSE),"Unassigned")</f>
        <v>Unassigned</v>
      </c>
      <c r="F55" s="10">
        <v>46029.0</v>
      </c>
      <c r="G55" s="10">
        <v>46023.0</v>
      </c>
      <c r="H55" s="9" t="s">
        <v>110</v>
      </c>
      <c r="I55" s="9" t="s">
        <v>91</v>
      </c>
      <c r="J55" s="9" t="s">
        <v>50</v>
      </c>
      <c r="K55" s="9" t="s">
        <v>94</v>
      </c>
      <c r="L55" s="11">
        <v>0.0</v>
      </c>
      <c r="M55" s="9">
        <f>COUNTIF(ACTIVITIES!$B$2:$B$241,A55)</f>
        <v>2</v>
      </c>
      <c r="N55" s="10">
        <f>IF(M55=0,"",MAXIFS(ACTIVITIES!$C$2:$C$241,ACTIVITIES!$B$2:$B$241,A55))</f>
        <v>46258</v>
      </c>
    </row>
    <row r="56" ht="15.75" customHeight="1">
      <c r="A56" s="9" t="s">
        <v>403</v>
      </c>
      <c r="B56" s="9" t="s">
        <v>226</v>
      </c>
      <c r="C56" s="9" t="str">
        <f>IFERROR(VLOOKUP(B56,CLIENTS!$A$2:$E$91,2,FALSE),"Unassigned")</f>
        <v>Client 026</v>
      </c>
      <c r="D56" s="9" t="str">
        <f>IFERROR(VLOOKUP(B56,CLIENTS!$A$2:$E$91,3,FALSE),"Unassigned")</f>
        <v>El Salvador</v>
      </c>
      <c r="E56" s="9" t="str">
        <f>IFERROR(VLOOKUP(B56,CLIENTS!$A$2:$E$91,4,FALSE),"Unassigned")</f>
        <v>E-commerce</v>
      </c>
      <c r="F56" s="10">
        <v>46038.0</v>
      </c>
      <c r="G56" s="10">
        <v>46023.0</v>
      </c>
      <c r="H56" s="9" t="s">
        <v>46</v>
      </c>
      <c r="I56" s="9" t="s">
        <v>102</v>
      </c>
      <c r="J56" s="9" t="s">
        <v>59</v>
      </c>
      <c r="K56" s="9" t="s">
        <v>105</v>
      </c>
      <c r="L56" s="11">
        <v>3585.0</v>
      </c>
      <c r="M56" s="9">
        <f>COUNTIF(ACTIVITIES!$B$2:$B$241,A56)</f>
        <v>2</v>
      </c>
      <c r="N56" s="10">
        <f>IF(M56=0,"",MAXIFS(ACTIVITIES!$C$2:$C$241,ACTIVITIES!$B$2:$B$241,A56))</f>
        <v>46263</v>
      </c>
    </row>
    <row r="57" ht="15.75" customHeight="1">
      <c r="A57" s="9" t="s">
        <v>411</v>
      </c>
      <c r="B57" s="9" t="s">
        <v>256</v>
      </c>
      <c r="C57" s="9" t="str">
        <f>IFERROR(VLOOKUP(B57,CLIENTS!$A$2:$E$91,2,FALSE),"Unassigned")</f>
        <v>Client 033</v>
      </c>
      <c r="D57" s="9" t="str">
        <f>IFERROR(VLOOKUP(B57,CLIENTS!$A$2:$E$91,3,FALSE),"Unassigned")</f>
        <v>Colombia</v>
      </c>
      <c r="E57" s="9" t="str">
        <f>IFERROR(VLOOKUP(B57,CLIENTS!$A$2:$E$91,4,FALSE),"Unassigned")</f>
        <v>Professional Services</v>
      </c>
      <c r="F57" s="10">
        <v>46047.0</v>
      </c>
      <c r="G57" s="10">
        <v>46023.0</v>
      </c>
      <c r="H57" s="9" t="s">
        <v>65</v>
      </c>
      <c r="I57" s="9" t="s">
        <v>51</v>
      </c>
      <c r="J57" s="9" t="s">
        <v>71</v>
      </c>
      <c r="K57" s="9" t="s">
        <v>55</v>
      </c>
      <c r="L57" s="11">
        <v>3722.0</v>
      </c>
      <c r="M57" s="9">
        <f>COUNTIF(ACTIVITIES!$B$2:$B$241,A57)</f>
        <v>1</v>
      </c>
      <c r="N57" s="10">
        <f>IF(M57=0,"",MAXIFS(ACTIVITIES!$C$2:$C$241,ACTIVITIES!$B$2:$B$241,A57))</f>
        <v>46138</v>
      </c>
    </row>
    <row r="58" ht="15.75" customHeight="1">
      <c r="A58" s="9" t="s">
        <v>413</v>
      </c>
      <c r="B58" s="9" t="s">
        <v>287</v>
      </c>
      <c r="C58" s="9" t="str">
        <f>IFERROR(VLOOKUP(B58,CLIENTS!$A$2:$E$91,2,FALSE),"Unassigned")</f>
        <v>Client 040</v>
      </c>
      <c r="D58" s="9" t="str">
        <f>IFERROR(VLOOKUP(B58,CLIENTS!$A$2:$E$91,3,FALSE),"Unassigned")</f>
        <v>Spain</v>
      </c>
      <c r="E58" s="9" t="str">
        <f>IFERROR(VLOOKUP(B58,CLIENTS!$A$2:$E$91,4,FALSE),"Unassigned")</f>
        <v>SMB</v>
      </c>
      <c r="F58" s="10">
        <v>46056.0</v>
      </c>
      <c r="G58" s="10">
        <v>46054.0</v>
      </c>
      <c r="H58" s="9" t="s">
        <v>79</v>
      </c>
      <c r="I58" s="9" t="s">
        <v>68</v>
      </c>
      <c r="J58" s="9" t="s">
        <v>42</v>
      </c>
      <c r="K58" s="9" t="s">
        <v>72</v>
      </c>
      <c r="L58" s="11">
        <v>3859.0</v>
      </c>
      <c r="M58" s="9">
        <f>COUNTIF(ACTIVITIES!$B$2:$B$241,A58)</f>
        <v>1</v>
      </c>
      <c r="N58" s="10">
        <f>IF(M58=0,"",MAXIFS(ACTIVITIES!$C$2:$C$241,ACTIVITIES!$B$2:$B$241,A58))</f>
        <v>46078</v>
      </c>
    </row>
    <row r="59" ht="15.75" customHeight="1">
      <c r="A59" s="9" t="s">
        <v>188</v>
      </c>
      <c r="B59" s="9" t="s">
        <v>317</v>
      </c>
      <c r="C59" s="9" t="str">
        <f>IFERROR(VLOOKUP(B59,CLIENTS!$A$2:$E$91,2,FALSE),"Unassigned")</f>
        <v>Client 047</v>
      </c>
      <c r="D59" s="9" t="str">
        <f>IFERROR(VLOOKUP(B59,CLIENTS!$A$2:$E$91,3,FALSE),"Unassigned")</f>
        <v>United States</v>
      </c>
      <c r="E59" s="9" t="str">
        <f>IFERROR(VLOOKUP(B59,CLIENTS!$A$2:$E$91,4,FALSE),"Unassigned")</f>
        <v>Hospitality</v>
      </c>
      <c r="F59" s="10">
        <v>46065.0</v>
      </c>
      <c r="G59" s="10">
        <v>46054.0</v>
      </c>
      <c r="H59" s="9" t="s">
        <v>89</v>
      </c>
      <c r="I59" s="9" t="s">
        <v>80</v>
      </c>
      <c r="J59" s="9" t="s">
        <v>50</v>
      </c>
      <c r="K59" s="9" t="s">
        <v>83</v>
      </c>
      <c r="L59" s="11">
        <v>3996.0</v>
      </c>
      <c r="M59" s="9">
        <f>COUNTIF(ACTIVITIES!$B$2:$B$241,A59)</f>
        <v>2</v>
      </c>
      <c r="N59" s="10">
        <f>IF(M59=0,"",MAXIFS(ACTIVITIES!$C$2:$C$241,ACTIVITIES!$B$2:$B$241,A59))</f>
        <v>46263</v>
      </c>
    </row>
    <row r="60" ht="15.75" customHeight="1">
      <c r="A60" s="9" t="s">
        <v>354</v>
      </c>
      <c r="B60" s="9" t="s">
        <v>341</v>
      </c>
      <c r="C60" s="9" t="str">
        <f>IFERROR(VLOOKUP(B60,CLIENTS!$A$2:$E$91,2,FALSE),"Unassigned")</f>
        <v>Client 054</v>
      </c>
      <c r="D60" s="9" t="str">
        <f>IFERROR(VLOOKUP(B60,CLIENTS!$A$2:$E$91,3,FALSE),"Unassigned")</f>
        <v>Mexico</v>
      </c>
      <c r="E60" s="9" t="str">
        <f>IFERROR(VLOOKUP(B60,CLIENTS!$A$2:$E$91,4,FALSE),"Unassigned")</f>
        <v>E-commerce</v>
      </c>
      <c r="F60" s="10">
        <v>46074.0</v>
      </c>
      <c r="G60" s="10">
        <v>46054.0</v>
      </c>
      <c r="H60" s="9" t="s">
        <v>100</v>
      </c>
      <c r="I60" s="9" t="s">
        <v>91</v>
      </c>
      <c r="J60" s="9" t="s">
        <v>59</v>
      </c>
      <c r="K60" s="9" t="s">
        <v>94</v>
      </c>
      <c r="L60" s="11">
        <v>0.0</v>
      </c>
      <c r="M60" s="9">
        <f>COUNTIF(ACTIVITIES!$B$2:$B$241,A60)</f>
        <v>2</v>
      </c>
      <c r="N60" s="10">
        <f>IF(M60=0,"",MAXIFS(ACTIVITIES!$C$2:$C$241,ACTIVITIES!$B$2:$B$241,A60))</f>
        <v>46203</v>
      </c>
    </row>
    <row r="61" ht="15.75" customHeight="1">
      <c r="A61" s="9" t="s">
        <v>432</v>
      </c>
      <c r="C61" s="9" t="str">
        <f>IFERROR(VLOOKUP(B61,CLIENTS!$A$2:$E$91,2,FALSE),"Unassigned")</f>
        <v>Unassigned</v>
      </c>
      <c r="D61" s="9" t="str">
        <f>IFERROR(VLOOKUP(B61,CLIENTS!$A$2:$E$91,3,FALSE),"Unassigned")</f>
        <v>Unassigned</v>
      </c>
      <c r="E61" s="9" t="str">
        <f>IFERROR(VLOOKUP(B61,CLIENTS!$A$2:$E$91,4,FALSE),"Unassigned")</f>
        <v>Unassigned</v>
      </c>
      <c r="F61" s="10">
        <v>46083.0</v>
      </c>
      <c r="G61" s="10">
        <v>46082.0</v>
      </c>
      <c r="H61" s="9" t="s">
        <v>110</v>
      </c>
      <c r="I61" s="9" t="s">
        <v>102</v>
      </c>
      <c r="J61" s="9" t="s">
        <v>71</v>
      </c>
      <c r="K61" s="9" t="s">
        <v>105</v>
      </c>
      <c r="L61" s="11">
        <v>4270.0</v>
      </c>
      <c r="M61" s="9">
        <f>COUNTIF(ACTIVITIES!$B$2:$B$241,A61)</f>
        <v>1</v>
      </c>
      <c r="N61" s="10">
        <f>IF(M61=0,"",MAXIFS(ACTIVITIES!$C$2:$C$241,ACTIVITIES!$B$2:$B$241,A61))</f>
        <v>46078</v>
      </c>
    </row>
    <row r="62" ht="15.75" customHeight="1">
      <c r="A62" s="9" t="s">
        <v>437</v>
      </c>
      <c r="B62" s="9" t="s">
        <v>389</v>
      </c>
      <c r="C62" s="9" t="str">
        <f>IFERROR(VLOOKUP(B62,CLIENTS!$A$2:$E$91,2,FALSE),"Unassigned")</f>
        <v>Client 068</v>
      </c>
      <c r="D62" s="9" t="str">
        <f>IFERROR(VLOOKUP(B62,CLIENTS!$A$2:$E$91,3,FALSE),"Unassigned")</f>
        <v>Colombia</v>
      </c>
      <c r="E62" s="9" t="str">
        <f>IFERROR(VLOOKUP(B62,CLIENTS!$A$2:$E$91,4,FALSE),"Unassigned")</f>
        <v>SMB</v>
      </c>
      <c r="F62" s="10">
        <v>46092.0</v>
      </c>
      <c r="G62" s="10">
        <v>46082.0</v>
      </c>
      <c r="H62" s="9" t="s">
        <v>46</v>
      </c>
      <c r="I62" s="9" t="s">
        <v>51</v>
      </c>
      <c r="J62" s="9" t="s">
        <v>42</v>
      </c>
      <c r="K62" s="9" t="s">
        <v>55</v>
      </c>
      <c r="L62" s="11">
        <v>4407.0</v>
      </c>
      <c r="M62" s="9">
        <f>COUNTIF(ACTIVITIES!$B$2:$B$241,A62)</f>
        <v>1</v>
      </c>
      <c r="N62" s="10">
        <f>IF(M62=0,"",MAXIFS(ACTIVITIES!$C$2:$C$241,ACTIVITIES!$B$2:$B$241,A62))</f>
        <v>46263</v>
      </c>
    </row>
    <row r="63" ht="15.75" customHeight="1">
      <c r="A63" s="9" t="s">
        <v>144</v>
      </c>
      <c r="B63" s="9" t="s">
        <v>416</v>
      </c>
      <c r="C63" s="9" t="str">
        <f>IFERROR(VLOOKUP(B63,CLIENTS!$A$2:$E$91,2,FALSE),"Unassigned")</f>
        <v>Client 075</v>
      </c>
      <c r="D63" s="9" t="str">
        <f>IFERROR(VLOOKUP(B63,CLIENTS!$A$2:$E$91,3,FALSE),"Unassigned")</f>
        <v>Spain</v>
      </c>
      <c r="E63" s="9" t="str">
        <f>IFERROR(VLOOKUP(B63,CLIENTS!$A$2:$E$91,4,FALSE),"Unassigned")</f>
        <v>Hospitality</v>
      </c>
      <c r="F63" s="10">
        <v>46101.0</v>
      </c>
      <c r="G63" s="10">
        <v>46082.0</v>
      </c>
      <c r="H63" s="9" t="s">
        <v>65</v>
      </c>
      <c r="I63" s="9" t="s">
        <v>68</v>
      </c>
      <c r="J63" s="9" t="s">
        <v>50</v>
      </c>
      <c r="K63" s="9" t="s">
        <v>72</v>
      </c>
      <c r="L63" s="11">
        <v>4544.0</v>
      </c>
      <c r="M63" s="9">
        <f>COUNTIF(ACTIVITIES!$B$2:$B$241,A63)</f>
        <v>2</v>
      </c>
      <c r="N63" s="10">
        <f>IF(M63=0,"",MAXIFS(ACTIVITIES!$C$2:$C$241,ACTIVITIES!$B$2:$B$241,A63))</f>
        <v>46203</v>
      </c>
    </row>
    <row r="64" ht="15.75" customHeight="1">
      <c r="A64" s="9" t="s">
        <v>300</v>
      </c>
      <c r="B64" s="9" t="s">
        <v>441</v>
      </c>
      <c r="C64" s="9" t="str">
        <f>IFERROR(VLOOKUP(B64,CLIENTS!$A$2:$E$91,2,FALSE),"Unassigned")</f>
        <v>Client 082</v>
      </c>
      <c r="D64" s="9" t="str">
        <f>IFERROR(VLOOKUP(B64,CLIENTS!$A$2:$E$91,3,FALSE),"Unassigned")</f>
        <v>United States</v>
      </c>
      <c r="E64" s="9" t="str">
        <f>IFERROR(VLOOKUP(B64,CLIENTS!$A$2:$E$91,4,FALSE),"Unassigned")</f>
        <v>E-commerce</v>
      </c>
      <c r="F64" s="10">
        <v>46110.0</v>
      </c>
      <c r="G64" s="10">
        <v>46082.0</v>
      </c>
      <c r="H64" s="9" t="s">
        <v>79</v>
      </c>
      <c r="I64" s="9" t="s">
        <v>80</v>
      </c>
      <c r="J64" s="9" t="s">
        <v>59</v>
      </c>
      <c r="K64" s="9" t="s">
        <v>83</v>
      </c>
      <c r="L64" s="11">
        <v>4681.0</v>
      </c>
      <c r="M64" s="9">
        <f>COUNTIF(ACTIVITIES!$B$2:$B$241,A64)</f>
        <v>2</v>
      </c>
      <c r="N64" s="10">
        <f>IF(M64=0,"",MAXIFS(ACTIVITIES!$C$2:$C$241,ACTIVITIES!$B$2:$B$241,A64))</f>
        <v>46143</v>
      </c>
    </row>
    <row r="65" ht="15.75" customHeight="1">
      <c r="A65" s="9" t="s">
        <v>449</v>
      </c>
      <c r="B65" s="9" t="s">
        <v>450</v>
      </c>
      <c r="C65" s="9" t="str">
        <f>IFERROR(VLOOKUP(B65,CLIENTS!$A$2:$E$91,2,FALSE),"Unassigned")</f>
        <v>Client 089</v>
      </c>
      <c r="D65" s="9" t="str">
        <f>IFERROR(VLOOKUP(B65,CLIENTS!$A$2:$E$91,3,FALSE),"Unassigned")</f>
        <v>Mexico</v>
      </c>
      <c r="E65" s="9" t="str">
        <f>IFERROR(VLOOKUP(B65,CLIENTS!$A$2:$E$91,4,FALSE),"Unassigned")</f>
        <v>Professional Services</v>
      </c>
      <c r="F65" s="10">
        <v>46119.0</v>
      </c>
      <c r="G65" s="10">
        <v>46113.0</v>
      </c>
      <c r="H65" s="9" t="s">
        <v>89</v>
      </c>
      <c r="I65" s="9" t="s">
        <v>91</v>
      </c>
      <c r="J65" s="9" t="s">
        <v>71</v>
      </c>
      <c r="K65" s="9" t="s">
        <v>94</v>
      </c>
      <c r="L65" s="11">
        <v>0.0</v>
      </c>
      <c r="M65" s="9">
        <f>COUNTIF(ACTIVITIES!$B$2:$B$241,A65)</f>
        <v>1</v>
      </c>
      <c r="N65" s="10">
        <f>IF(M65=0,"",MAXIFS(ACTIVITIES!$C$2:$C$241,ACTIVITIES!$B$2:$B$241,A65))</f>
        <v>46263</v>
      </c>
    </row>
    <row r="66" ht="15.75" customHeight="1">
      <c r="A66" s="9" t="s">
        <v>454</v>
      </c>
      <c r="B66" s="9" t="s">
        <v>103</v>
      </c>
      <c r="C66" s="9" t="str">
        <f>IFERROR(VLOOKUP(B66,CLIENTS!$A$2:$E$91,2,FALSE),"Unassigned")</f>
        <v>Client 006</v>
      </c>
      <c r="D66" s="9" t="str">
        <f>IFERROR(VLOOKUP(B66,CLIENTS!$A$2:$E$91,3,FALSE),"Unassigned")</f>
        <v>El Salvador</v>
      </c>
      <c r="E66" s="9" t="str">
        <f>IFERROR(VLOOKUP(B66,CLIENTS!$A$2:$E$91,4,FALSE),"Unassigned")</f>
        <v>E-commerce</v>
      </c>
      <c r="F66" s="10">
        <v>46128.0</v>
      </c>
      <c r="G66" s="10">
        <v>46113.0</v>
      </c>
      <c r="H66" s="9" t="s">
        <v>100</v>
      </c>
      <c r="I66" s="9" t="s">
        <v>102</v>
      </c>
      <c r="J66" s="9" t="s">
        <v>42</v>
      </c>
      <c r="K66" s="9" t="s">
        <v>105</v>
      </c>
      <c r="L66" s="11">
        <v>4955.0</v>
      </c>
      <c r="M66" s="9">
        <f>COUNTIF(ACTIVITIES!$B$2:$B$241,A66)</f>
        <v>1</v>
      </c>
      <c r="N66" s="10">
        <f>IF(M66=0,"",MAXIFS(ACTIVITIES!$C$2:$C$241,ACTIVITIES!$B$2:$B$241,A66))</f>
        <v>46203</v>
      </c>
    </row>
    <row r="67" ht="15.75" customHeight="1">
      <c r="A67" s="9" t="s">
        <v>76</v>
      </c>
      <c r="C67" s="9" t="str">
        <f>IFERROR(VLOOKUP(B67,CLIENTS!$A$2:$E$91,2,FALSE),"Unassigned")</f>
        <v>Unassigned</v>
      </c>
      <c r="D67" s="9" t="str">
        <f>IFERROR(VLOOKUP(B67,CLIENTS!$A$2:$E$91,3,FALSE),"Unassigned")</f>
        <v>Unassigned</v>
      </c>
      <c r="E67" s="9" t="str">
        <f>IFERROR(VLOOKUP(B67,CLIENTS!$A$2:$E$91,4,FALSE),"Unassigned")</f>
        <v>Unassigned</v>
      </c>
      <c r="F67" s="10">
        <v>46137.0</v>
      </c>
      <c r="G67" s="10">
        <v>46113.0</v>
      </c>
      <c r="H67" s="9" t="s">
        <v>110</v>
      </c>
      <c r="I67" s="9" t="s">
        <v>51</v>
      </c>
      <c r="J67" s="9" t="s">
        <v>50</v>
      </c>
      <c r="K67" s="9" t="s">
        <v>55</v>
      </c>
      <c r="L67" s="11">
        <v>5092.0</v>
      </c>
      <c r="M67" s="9">
        <f>COUNTIF(ACTIVITIES!$B$2:$B$241,A67)</f>
        <v>2</v>
      </c>
      <c r="N67" s="10">
        <f>IF(M67=0,"",MAXIFS(ACTIVITIES!$C$2:$C$241,ACTIVITIES!$B$2:$B$241,A67))</f>
        <v>46143</v>
      </c>
    </row>
    <row r="68" ht="15.75" customHeight="1">
      <c r="A68" s="9" t="s">
        <v>244</v>
      </c>
      <c r="B68" s="9" t="s">
        <v>194</v>
      </c>
      <c r="C68" s="9" t="str">
        <f>IFERROR(VLOOKUP(B68,CLIENTS!$A$2:$E$91,2,FALSE),"Unassigned")</f>
        <v>Client 020</v>
      </c>
      <c r="D68" s="9" t="str">
        <f>IFERROR(VLOOKUP(B68,CLIENTS!$A$2:$E$91,3,FALSE),"Unassigned")</f>
        <v>Spain</v>
      </c>
      <c r="E68" s="9" t="str">
        <f>IFERROR(VLOOKUP(B68,CLIENTS!$A$2:$E$91,4,FALSE),"Unassigned")</f>
        <v>SMB</v>
      </c>
      <c r="F68" s="10">
        <v>46146.0</v>
      </c>
      <c r="G68" s="10">
        <v>46143.0</v>
      </c>
      <c r="H68" s="9" t="s">
        <v>46</v>
      </c>
      <c r="I68" s="9" t="s">
        <v>68</v>
      </c>
      <c r="J68" s="9" t="s">
        <v>59</v>
      </c>
      <c r="K68" s="9" t="s">
        <v>72</v>
      </c>
      <c r="L68" s="11">
        <v>5229.0</v>
      </c>
      <c r="M68" s="9">
        <f>COUNTIF(ACTIVITIES!$B$2:$B$241,A68)</f>
        <v>2</v>
      </c>
      <c r="N68" s="10">
        <f>IF(M68=0,"",MAXIFS(ACTIVITIES!$C$2:$C$241,ACTIVITIES!$B$2:$B$241,A68))</f>
        <v>46263</v>
      </c>
    </row>
    <row r="69" ht="15.75" customHeight="1">
      <c r="A69" s="9" t="s">
        <v>406</v>
      </c>
      <c r="B69" s="9" t="s">
        <v>231</v>
      </c>
      <c r="C69" s="9" t="str">
        <f>IFERROR(VLOOKUP(B69,CLIENTS!$A$2:$E$91,2,FALSE),"Unassigned")</f>
        <v>Client 027</v>
      </c>
      <c r="D69" s="9" t="str">
        <f>IFERROR(VLOOKUP(B69,CLIENTS!$A$2:$E$91,3,FALSE),"Unassigned")</f>
        <v>United States</v>
      </c>
      <c r="E69" s="9" t="str">
        <f>IFERROR(VLOOKUP(B69,CLIENTS!$A$2:$E$91,4,FALSE),"Unassigned")</f>
        <v>Hospitality</v>
      </c>
      <c r="F69" s="10">
        <v>46155.0</v>
      </c>
      <c r="G69" s="10">
        <v>46143.0</v>
      </c>
      <c r="H69" s="9" t="s">
        <v>65</v>
      </c>
      <c r="I69" s="9" t="s">
        <v>80</v>
      </c>
      <c r="J69" s="9" t="s">
        <v>71</v>
      </c>
      <c r="K69" s="9" t="s">
        <v>83</v>
      </c>
      <c r="L69" s="11">
        <v>766.0</v>
      </c>
      <c r="M69" s="9">
        <f>COUNTIF(ACTIVITIES!$B$2:$B$241,A69)</f>
        <v>2</v>
      </c>
      <c r="N69" s="10">
        <f>IF(M69=0,"",MAXIFS(ACTIVITIES!$C$2:$C$241,ACTIVITIES!$B$2:$B$241,A69))</f>
        <v>46203</v>
      </c>
    </row>
    <row r="70" ht="15.75" customHeight="1">
      <c r="A70" s="9" t="s">
        <v>471</v>
      </c>
      <c r="B70" s="9" t="s">
        <v>261</v>
      </c>
      <c r="C70" s="9" t="str">
        <f>IFERROR(VLOOKUP(B70,CLIENTS!$A$2:$E$91,2,FALSE),"Unassigned")</f>
        <v>Client 034</v>
      </c>
      <c r="D70" s="9" t="str">
        <f>IFERROR(VLOOKUP(B70,CLIENTS!$A$2:$E$91,3,FALSE),"Unassigned")</f>
        <v>Mexico</v>
      </c>
      <c r="E70" s="9" t="str">
        <f>IFERROR(VLOOKUP(B70,CLIENTS!$A$2:$E$91,4,FALSE),"Unassigned")</f>
        <v>E-commerce</v>
      </c>
      <c r="F70" s="10">
        <v>46164.0</v>
      </c>
      <c r="G70" s="10">
        <v>46143.0</v>
      </c>
      <c r="H70" s="9" t="s">
        <v>79</v>
      </c>
      <c r="I70" s="9" t="s">
        <v>91</v>
      </c>
      <c r="J70" s="9" t="s">
        <v>42</v>
      </c>
      <c r="K70" s="9" t="s">
        <v>94</v>
      </c>
      <c r="L70" s="11">
        <v>0.0</v>
      </c>
      <c r="M70" s="9">
        <f>COUNTIF(ACTIVITIES!$B$2:$B$241,A70)</f>
        <v>1</v>
      </c>
      <c r="N70" s="10">
        <f>IF(M70=0,"",MAXIFS(ACTIVITIES!$C$2:$C$241,ACTIVITIES!$B$2:$B$241,A70))</f>
        <v>46143</v>
      </c>
    </row>
    <row r="71" ht="15.75" customHeight="1">
      <c r="A71" s="9" t="s">
        <v>474</v>
      </c>
      <c r="B71" s="9" t="s">
        <v>293</v>
      </c>
      <c r="C71" s="9" t="str">
        <f>IFERROR(VLOOKUP(B71,CLIENTS!$A$2:$E$91,2,FALSE),"Unassigned")</f>
        <v>Client 041</v>
      </c>
      <c r="D71" s="9" t="str">
        <f>IFERROR(VLOOKUP(B71,CLIENTS!$A$2:$E$91,3,FALSE),"Unassigned")</f>
        <v>El Salvador</v>
      </c>
      <c r="E71" s="9" t="str">
        <f>IFERROR(VLOOKUP(B71,CLIENTS!$A$2:$E$91,4,FALSE),"Unassigned")</f>
        <v>Professional Services</v>
      </c>
      <c r="F71" s="10">
        <v>46173.0</v>
      </c>
      <c r="G71" s="10">
        <v>46143.0</v>
      </c>
      <c r="H71" s="9" t="s">
        <v>89</v>
      </c>
      <c r="I71" s="9" t="s">
        <v>102</v>
      </c>
      <c r="J71" s="9" t="s">
        <v>50</v>
      </c>
      <c r="K71" s="9" t="s">
        <v>105</v>
      </c>
      <c r="L71" s="11">
        <v>1040.0</v>
      </c>
      <c r="M71" s="9">
        <f>COUNTIF(ACTIVITIES!$B$2:$B$241,A71)</f>
        <v>1</v>
      </c>
      <c r="N71" s="10">
        <f>IF(M71=0,"",MAXIFS(ACTIVITIES!$C$2:$C$241,ACTIVITIES!$B$2:$B$241,A71))</f>
        <v>46083</v>
      </c>
    </row>
    <row r="72" ht="15.75" customHeight="1">
      <c r="A72" s="9" t="s">
        <v>193</v>
      </c>
      <c r="B72" s="9" t="s">
        <v>321</v>
      </c>
      <c r="C72" s="9" t="str">
        <f>IFERROR(VLOOKUP(B72,CLIENTS!$A$2:$E$91,2,FALSE),"Unassigned")</f>
        <v>Client 048</v>
      </c>
      <c r="D72" s="9" t="str">
        <f>IFERROR(VLOOKUP(B72,CLIENTS!$A$2:$E$91,3,FALSE),"Unassigned")</f>
        <v>Colombia</v>
      </c>
      <c r="E72" s="9" t="str">
        <f>IFERROR(VLOOKUP(B72,CLIENTS!$A$2:$E$91,4,FALSE),"Unassigned")</f>
        <v>SMB</v>
      </c>
      <c r="F72" s="10">
        <v>46182.0</v>
      </c>
      <c r="G72" s="10">
        <v>46174.0</v>
      </c>
      <c r="H72" s="9" t="s">
        <v>100</v>
      </c>
      <c r="I72" s="9" t="s">
        <v>51</v>
      </c>
      <c r="J72" s="9" t="s">
        <v>59</v>
      </c>
      <c r="K72" s="9" t="s">
        <v>55</v>
      </c>
      <c r="L72" s="11">
        <v>1177.0</v>
      </c>
      <c r="M72" s="9">
        <f>COUNTIF(ACTIVITIES!$B$2:$B$241,A72)</f>
        <v>2</v>
      </c>
      <c r="N72" s="10">
        <f>IF(M72=0,"",MAXIFS(ACTIVITIES!$C$2:$C$241,ACTIVITIES!$B$2:$B$241,A72))</f>
        <v>46203</v>
      </c>
    </row>
    <row r="73" ht="15.75" customHeight="1">
      <c r="A73" s="9" t="s">
        <v>358</v>
      </c>
      <c r="C73" s="9" t="str">
        <f>IFERROR(VLOOKUP(B73,CLIENTS!$A$2:$E$91,2,FALSE),"Unassigned")</f>
        <v>Unassigned</v>
      </c>
      <c r="D73" s="9" t="str">
        <f>IFERROR(VLOOKUP(B73,CLIENTS!$A$2:$E$91,3,FALSE),"Unassigned")</f>
        <v>Unassigned</v>
      </c>
      <c r="E73" s="9" t="str">
        <f>IFERROR(VLOOKUP(B73,CLIENTS!$A$2:$E$91,4,FALSE),"Unassigned")</f>
        <v>Unassigned</v>
      </c>
      <c r="F73" s="10">
        <v>46191.0</v>
      </c>
      <c r="G73" s="10">
        <v>46174.0</v>
      </c>
      <c r="H73" s="9" t="s">
        <v>110</v>
      </c>
      <c r="I73" s="9" t="s">
        <v>68</v>
      </c>
      <c r="J73" s="9" t="s">
        <v>71</v>
      </c>
      <c r="K73" s="9" t="s">
        <v>72</v>
      </c>
      <c r="L73" s="11">
        <v>1314.0</v>
      </c>
      <c r="M73" s="9">
        <f>COUNTIF(ACTIVITIES!$B$2:$B$241,A73)</f>
        <v>2</v>
      </c>
      <c r="N73" s="10">
        <f>IF(M73=0,"",MAXIFS(ACTIVITIES!$C$2:$C$241,ACTIVITIES!$B$2:$B$241,A73))</f>
        <v>46208</v>
      </c>
    </row>
    <row r="74" ht="15.75" customHeight="1">
      <c r="A74" s="9" t="s">
        <v>482</v>
      </c>
      <c r="B74" s="9" t="s">
        <v>368</v>
      </c>
      <c r="C74" s="9" t="str">
        <f>IFERROR(VLOOKUP(B74,CLIENTS!$A$2:$E$91,2,FALSE),"Unassigned")</f>
        <v>Client 062</v>
      </c>
      <c r="D74" s="9" t="str">
        <f>IFERROR(VLOOKUP(B74,CLIENTS!$A$2:$E$91,3,FALSE),"Unassigned")</f>
        <v>United States</v>
      </c>
      <c r="E74" s="9" t="str">
        <f>IFERROR(VLOOKUP(B74,CLIENTS!$A$2:$E$91,4,FALSE),"Unassigned")</f>
        <v>E-commerce</v>
      </c>
      <c r="F74" s="10">
        <v>46200.0</v>
      </c>
      <c r="G74" s="10">
        <v>46174.0</v>
      </c>
      <c r="H74" s="9" t="s">
        <v>46</v>
      </c>
      <c r="I74" s="9" t="s">
        <v>80</v>
      </c>
      <c r="J74" s="9" t="s">
        <v>42</v>
      </c>
      <c r="K74" s="9" t="s">
        <v>83</v>
      </c>
      <c r="L74" s="11">
        <v>1451.0</v>
      </c>
      <c r="M74" s="9">
        <f>COUNTIF(ACTIVITIES!$B$2:$B$241,A74)</f>
        <v>1</v>
      </c>
      <c r="N74" s="10">
        <f>IF(M74=0,"",MAXIFS(ACTIVITIES!$C$2:$C$241,ACTIVITIES!$B$2:$B$241,A74))</f>
        <v>46083</v>
      </c>
    </row>
    <row r="75" ht="15.75" customHeight="1">
      <c r="A75" s="9" t="s">
        <v>484</v>
      </c>
      <c r="B75" s="9" t="s">
        <v>394</v>
      </c>
      <c r="C75" s="9" t="str">
        <f>IFERROR(VLOOKUP(B75,CLIENTS!$A$2:$E$91,2,FALSE),"Unassigned")</f>
        <v>Client 069</v>
      </c>
      <c r="D75" s="9" t="str">
        <f>IFERROR(VLOOKUP(B75,CLIENTS!$A$2:$E$91,3,FALSE),"Unassigned")</f>
        <v>Mexico</v>
      </c>
      <c r="E75" s="9" t="str">
        <f>IFERROR(VLOOKUP(B75,CLIENTS!$A$2:$E$91,4,FALSE),"Unassigned")</f>
        <v>Professional Services</v>
      </c>
      <c r="F75" s="10">
        <v>46209.0</v>
      </c>
      <c r="G75" s="10">
        <v>46204.0</v>
      </c>
      <c r="H75" s="9" t="s">
        <v>65</v>
      </c>
      <c r="I75" s="9" t="s">
        <v>91</v>
      </c>
      <c r="J75" s="9" t="s">
        <v>50</v>
      </c>
      <c r="K75" s="9" t="s">
        <v>94</v>
      </c>
      <c r="L75" s="11">
        <v>0.0</v>
      </c>
      <c r="M75" s="9">
        <f>COUNTIF(ACTIVITIES!$B$2:$B$241,A75)</f>
        <v>1</v>
      </c>
      <c r="N75" s="10">
        <f>IF(M75=0,"",MAXIFS(ACTIVITIES!$C$2:$C$241,ACTIVITIES!$B$2:$B$241,A75))</f>
        <v>46023</v>
      </c>
    </row>
    <row r="76" ht="15.75" customHeight="1">
      <c r="A76" s="9" t="s">
        <v>147</v>
      </c>
      <c r="B76" s="9" t="s">
        <v>420</v>
      </c>
      <c r="C76" s="9" t="str">
        <f>IFERROR(VLOOKUP(B76,CLIENTS!$A$2:$E$91,2,FALSE),"Unassigned")</f>
        <v>Client 076</v>
      </c>
      <c r="D76" s="9" t="str">
        <f>IFERROR(VLOOKUP(B76,CLIENTS!$A$2:$E$91,3,FALSE),"Unassigned")</f>
        <v>El Salvador</v>
      </c>
      <c r="E76" s="9" t="str">
        <f>IFERROR(VLOOKUP(B76,CLIENTS!$A$2:$E$91,4,FALSE),"Unassigned")</f>
        <v>SMB</v>
      </c>
      <c r="F76" s="10">
        <v>46218.0</v>
      </c>
      <c r="G76" s="10">
        <v>46204.0</v>
      </c>
      <c r="H76" s="9" t="s">
        <v>79</v>
      </c>
      <c r="I76" s="9" t="s">
        <v>102</v>
      </c>
      <c r="J76" s="9" t="s">
        <v>59</v>
      </c>
      <c r="K76" s="9" t="s">
        <v>105</v>
      </c>
      <c r="L76" s="11">
        <v>1725.0</v>
      </c>
      <c r="M76" s="9">
        <f>COUNTIF(ACTIVITIES!$B$2:$B$241,A76)</f>
        <v>2</v>
      </c>
      <c r="N76" s="10">
        <f>IF(M76=0,"",MAXIFS(ACTIVITIES!$C$2:$C$241,ACTIVITIES!$B$2:$B$241,A76))</f>
        <v>46208</v>
      </c>
    </row>
    <row r="77" ht="15.75" customHeight="1">
      <c r="A77" s="9" t="s">
        <v>304</v>
      </c>
      <c r="B77" s="9" t="s">
        <v>444</v>
      </c>
      <c r="C77" s="9" t="str">
        <f>IFERROR(VLOOKUP(B77,CLIENTS!$A$2:$E$91,2,FALSE),"Unassigned")</f>
        <v>Client 083</v>
      </c>
      <c r="D77" s="9" t="str">
        <f>IFERROR(VLOOKUP(B77,CLIENTS!$A$2:$E$91,3,FALSE),"Unassigned")</f>
        <v>Colombia</v>
      </c>
      <c r="E77" s="9" t="str">
        <f>IFERROR(VLOOKUP(B77,CLIENTS!$A$2:$E$91,4,FALSE),"Unassigned")</f>
        <v>Hospitality</v>
      </c>
      <c r="F77" s="10">
        <v>46227.0</v>
      </c>
      <c r="G77" s="10">
        <v>46204.0</v>
      </c>
      <c r="H77" s="9" t="s">
        <v>89</v>
      </c>
      <c r="I77" s="9" t="s">
        <v>51</v>
      </c>
      <c r="J77" s="9" t="s">
        <v>71</v>
      </c>
      <c r="K77" s="9" t="s">
        <v>55</v>
      </c>
      <c r="L77" s="11">
        <v>1862.0</v>
      </c>
      <c r="M77" s="9">
        <f>COUNTIF(ACTIVITIES!$B$2:$B$241,A77)</f>
        <v>2</v>
      </c>
      <c r="N77" s="10">
        <f>IF(M77=0,"",MAXIFS(ACTIVITIES!$C$2:$C$241,ACTIVITIES!$B$2:$B$241,A77))</f>
        <v>46148</v>
      </c>
    </row>
    <row r="78" ht="15.75" customHeight="1">
      <c r="A78" s="9" t="s">
        <v>457</v>
      </c>
      <c r="B78" s="9" t="s">
        <v>466</v>
      </c>
      <c r="C78" s="9" t="str">
        <f>IFERROR(VLOOKUP(B78,CLIENTS!$A$2:$E$91,2,FALSE),"Unassigned")</f>
        <v>Client 090</v>
      </c>
      <c r="D78" s="9" t="str">
        <f>IFERROR(VLOOKUP(B78,CLIENTS!$A$2:$E$91,3,FALSE),"Unassigned")</f>
        <v>Spain</v>
      </c>
      <c r="E78" s="9" t="str">
        <f>IFERROR(VLOOKUP(B78,CLIENTS!$A$2:$E$91,4,FALSE),"Unassigned")</f>
        <v>E-commerce</v>
      </c>
      <c r="F78" s="10">
        <v>46236.0</v>
      </c>
      <c r="G78" s="10">
        <v>46235.0</v>
      </c>
      <c r="H78" s="9" t="s">
        <v>100</v>
      </c>
      <c r="I78" s="9" t="s">
        <v>68</v>
      </c>
      <c r="J78" s="9" t="s">
        <v>42</v>
      </c>
      <c r="K78" s="9" t="s">
        <v>72</v>
      </c>
      <c r="L78" s="11">
        <v>1999.0</v>
      </c>
      <c r="M78" s="9">
        <f>COUNTIF(ACTIVITIES!$B$2:$B$241,A78)</f>
        <v>1</v>
      </c>
      <c r="N78" s="10">
        <f>IF(M78=0,"",MAXIFS(ACTIVITIES!$C$2:$C$241,ACTIVITIES!$B$2:$B$241,A78))</f>
        <v>46023</v>
      </c>
    </row>
    <row r="79" ht="15.75" customHeight="1">
      <c r="A79" s="9" t="s">
        <v>498</v>
      </c>
      <c r="C79" s="9" t="str">
        <f>IFERROR(VLOOKUP(B79,CLIENTS!$A$2:$E$91,2,FALSE),"Unassigned")</f>
        <v>Unassigned</v>
      </c>
      <c r="D79" s="9" t="str">
        <f>IFERROR(VLOOKUP(B79,CLIENTS!$A$2:$E$91,3,FALSE),"Unassigned")</f>
        <v>Unassigned</v>
      </c>
      <c r="E79" s="9" t="str">
        <f>IFERROR(VLOOKUP(B79,CLIENTS!$A$2:$E$91,4,FALSE),"Unassigned")</f>
        <v>Unassigned</v>
      </c>
      <c r="F79" s="10">
        <v>46245.0</v>
      </c>
      <c r="G79" s="10">
        <v>46235.0</v>
      </c>
      <c r="H79" s="9" t="s">
        <v>110</v>
      </c>
      <c r="I79" s="9" t="s">
        <v>80</v>
      </c>
      <c r="J79" s="9" t="s">
        <v>50</v>
      </c>
      <c r="K79" s="9" t="s">
        <v>83</v>
      </c>
      <c r="L79" s="11">
        <v>2136.0</v>
      </c>
      <c r="M79" s="9">
        <f>COUNTIF(ACTIVITIES!$B$2:$B$241,A79)</f>
        <v>1</v>
      </c>
      <c r="N79" s="10">
        <f>IF(M79=0,"",MAXIFS(ACTIVITIES!$C$2:$C$241,ACTIVITIES!$B$2:$B$241,A79))</f>
        <v>46208</v>
      </c>
    </row>
    <row r="80" ht="15.75" customHeight="1">
      <c r="A80" s="9" t="s">
        <v>87</v>
      </c>
      <c r="B80" s="9" t="s">
        <v>162</v>
      </c>
      <c r="C80" s="9" t="str">
        <f>IFERROR(VLOOKUP(B80,CLIENTS!$A$2:$E$91,2,FALSE),"Unassigned")</f>
        <v>Client 014</v>
      </c>
      <c r="D80" s="9" t="str">
        <f>IFERROR(VLOOKUP(B80,CLIENTS!$A$2:$E$91,3,FALSE),"Unassigned")</f>
        <v>Mexico</v>
      </c>
      <c r="E80" s="9" t="str">
        <f>IFERROR(VLOOKUP(B80,CLIENTS!$A$2:$E$91,4,FALSE),"Unassigned")</f>
        <v>E-commerce</v>
      </c>
      <c r="F80" s="10">
        <v>46254.0</v>
      </c>
      <c r="G80" s="10">
        <v>46235.0</v>
      </c>
      <c r="H80" s="9" t="s">
        <v>46</v>
      </c>
      <c r="I80" s="9" t="s">
        <v>91</v>
      </c>
      <c r="J80" s="9" t="s">
        <v>59</v>
      </c>
      <c r="K80" s="9" t="s">
        <v>94</v>
      </c>
      <c r="L80" s="11">
        <v>0.0</v>
      </c>
      <c r="M80" s="9">
        <f>COUNTIF(ACTIVITIES!$B$2:$B$241,A80)</f>
        <v>2</v>
      </c>
      <c r="N80" s="10">
        <f>IF(M80=0,"",MAXIFS(ACTIVITIES!$C$2:$C$241,ACTIVITIES!$B$2:$B$241,A80))</f>
        <v>46148</v>
      </c>
    </row>
    <row r="81" ht="15.75" customHeight="1">
      <c r="A81" s="9" t="s">
        <v>247</v>
      </c>
      <c r="B81" s="9" t="s">
        <v>202</v>
      </c>
      <c r="C81" s="9" t="str">
        <f>IFERROR(VLOOKUP(B81,CLIENTS!$A$2:$E$91,2,FALSE),"Unassigned")</f>
        <v>Client 021</v>
      </c>
      <c r="D81" s="9" t="str">
        <f>IFERROR(VLOOKUP(B81,CLIENTS!$A$2:$E$91,3,FALSE),"Unassigned")</f>
        <v>El Salvador</v>
      </c>
      <c r="E81" s="9" t="str">
        <f>IFERROR(VLOOKUP(B81,CLIENTS!$A$2:$E$91,4,FALSE),"Unassigned")</f>
        <v>Professional Services</v>
      </c>
      <c r="F81" s="10">
        <v>46023.0</v>
      </c>
      <c r="G81" s="10">
        <v>46023.0</v>
      </c>
      <c r="H81" s="9" t="s">
        <v>65</v>
      </c>
      <c r="I81" s="9" t="s">
        <v>102</v>
      </c>
      <c r="J81" s="9" t="s">
        <v>71</v>
      </c>
      <c r="K81" s="9" t="s">
        <v>105</v>
      </c>
      <c r="L81" s="11">
        <v>2410.0</v>
      </c>
      <c r="M81" s="9">
        <f>COUNTIF(ACTIVITIES!$B$2:$B$241,A81)</f>
        <v>2</v>
      </c>
      <c r="N81" s="10">
        <f>IF(M81=0,"",MAXIFS(ACTIVITIES!$C$2:$C$241,ACTIVITIES!$B$2:$B$241,A81))</f>
        <v>46088</v>
      </c>
    </row>
    <row r="82" ht="15.75" customHeight="1">
      <c r="A82" s="9" t="s">
        <v>410</v>
      </c>
      <c r="B82" s="9" t="s">
        <v>235</v>
      </c>
      <c r="C82" s="9" t="str">
        <f>IFERROR(VLOOKUP(B82,CLIENTS!$A$2:$E$91,2,FALSE),"Unassigned")</f>
        <v>Client 028</v>
      </c>
      <c r="D82" s="9" t="str">
        <f>IFERROR(VLOOKUP(B82,CLIENTS!$A$2:$E$91,3,FALSE),"Unassigned")</f>
        <v>Colombia</v>
      </c>
      <c r="E82" s="9" t="str">
        <f>IFERROR(VLOOKUP(B82,CLIENTS!$A$2:$E$91,4,FALSE),"Unassigned")</f>
        <v>SMB</v>
      </c>
      <c r="F82" s="10">
        <v>46032.0</v>
      </c>
      <c r="G82" s="10">
        <v>46023.0</v>
      </c>
      <c r="H82" s="9" t="s">
        <v>79</v>
      </c>
      <c r="I82" s="9" t="s">
        <v>51</v>
      </c>
      <c r="J82" s="9" t="s">
        <v>42</v>
      </c>
      <c r="K82" s="9" t="s">
        <v>55</v>
      </c>
      <c r="L82" s="11">
        <v>2547.0</v>
      </c>
      <c r="M82" s="9">
        <f>COUNTIF(ACTIVITIES!$B$2:$B$241,A82)</f>
        <v>2</v>
      </c>
      <c r="N82" s="10">
        <f>IF(M82=0,"",MAXIFS(ACTIVITIES!$C$2:$C$241,ACTIVITIES!$B$2:$B$241,A82))</f>
        <v>46208</v>
      </c>
    </row>
    <row r="83" ht="15.75" customHeight="1">
      <c r="A83" s="9" t="s">
        <v>505</v>
      </c>
      <c r="B83" s="9" t="s">
        <v>266</v>
      </c>
      <c r="C83" s="9" t="str">
        <f>IFERROR(VLOOKUP(B83,CLIENTS!$A$2:$E$91,2,FALSE),"Unassigned")</f>
        <v>Client 035</v>
      </c>
      <c r="D83" s="9" t="str">
        <f>IFERROR(VLOOKUP(B83,CLIENTS!$A$2:$E$91,3,FALSE),"Unassigned")</f>
        <v>Spain</v>
      </c>
      <c r="E83" s="9" t="str">
        <f>IFERROR(VLOOKUP(B83,CLIENTS!$A$2:$E$91,4,FALSE),"Unassigned")</f>
        <v>Hospitality</v>
      </c>
      <c r="F83" s="10">
        <v>46041.0</v>
      </c>
      <c r="G83" s="10">
        <v>46023.0</v>
      </c>
      <c r="H83" s="9" t="s">
        <v>89</v>
      </c>
      <c r="I83" s="9" t="s">
        <v>68</v>
      </c>
      <c r="J83" s="9" t="s">
        <v>50</v>
      </c>
      <c r="K83" s="9" t="s">
        <v>72</v>
      </c>
      <c r="L83" s="11">
        <v>2684.0</v>
      </c>
      <c r="M83" s="9">
        <f>COUNTIF(ACTIVITIES!$B$2:$B$241,A83)</f>
        <v>1</v>
      </c>
      <c r="N83" s="10">
        <f>IF(M83=0,"",MAXIFS(ACTIVITIES!$C$2:$C$241,ACTIVITIES!$B$2:$B$241,A83))</f>
        <v>46148</v>
      </c>
    </row>
    <row r="84" ht="15.75" customHeight="1">
      <c r="A84" s="9" t="s">
        <v>511</v>
      </c>
      <c r="B84" s="9" t="s">
        <v>297</v>
      </c>
      <c r="C84" s="9" t="str">
        <f>IFERROR(VLOOKUP(B84,CLIENTS!$A$2:$E$91,2,FALSE),"Unassigned")</f>
        <v>Client 042</v>
      </c>
      <c r="D84" s="9" t="str">
        <f>IFERROR(VLOOKUP(B84,CLIENTS!$A$2:$E$91,3,FALSE),"Unassigned")</f>
        <v>United States</v>
      </c>
      <c r="E84" s="9" t="str">
        <f>IFERROR(VLOOKUP(B84,CLIENTS!$A$2:$E$91,4,FALSE),"Unassigned")</f>
        <v>E-commerce</v>
      </c>
      <c r="F84" s="10">
        <v>46050.0</v>
      </c>
      <c r="G84" s="10">
        <v>46023.0</v>
      </c>
      <c r="H84" s="9" t="s">
        <v>100</v>
      </c>
      <c r="I84" s="9" t="s">
        <v>80</v>
      </c>
      <c r="J84" s="9" t="s">
        <v>59</v>
      </c>
      <c r="K84" s="9" t="s">
        <v>83</v>
      </c>
      <c r="L84" s="11">
        <v>2821.0</v>
      </c>
      <c r="M84" s="9">
        <f>COUNTIF(ACTIVITIES!$B$2:$B$241,A84)</f>
        <v>1</v>
      </c>
      <c r="N84" s="10">
        <f>IF(M84=0,"",MAXIFS(ACTIVITIES!$C$2:$C$241,ACTIVITIES!$B$2:$B$241,A84))</f>
        <v>46088</v>
      </c>
    </row>
    <row r="85" ht="15.75" customHeight="1">
      <c r="A85" s="9" t="s">
        <v>198</v>
      </c>
      <c r="C85" s="9" t="str">
        <f>IFERROR(VLOOKUP(B85,CLIENTS!$A$2:$E$91,2,FALSE),"Unassigned")</f>
        <v>Unassigned</v>
      </c>
      <c r="D85" s="9" t="str">
        <f>IFERROR(VLOOKUP(B85,CLIENTS!$A$2:$E$91,3,FALSE),"Unassigned")</f>
        <v>Unassigned</v>
      </c>
      <c r="E85" s="9" t="str">
        <f>IFERROR(VLOOKUP(B85,CLIENTS!$A$2:$E$91,4,FALSE),"Unassigned")</f>
        <v>Unassigned</v>
      </c>
      <c r="F85" s="10">
        <v>46059.0</v>
      </c>
      <c r="G85" s="10">
        <v>46054.0</v>
      </c>
      <c r="H85" s="9" t="s">
        <v>110</v>
      </c>
      <c r="I85" s="9" t="s">
        <v>91</v>
      </c>
      <c r="J85" s="9" t="s">
        <v>71</v>
      </c>
      <c r="K85" s="9" t="s">
        <v>94</v>
      </c>
      <c r="L85" s="11">
        <v>0.0</v>
      </c>
      <c r="M85" s="9">
        <f>COUNTIF(ACTIVITIES!$B$2:$B$241,A85)</f>
        <v>2</v>
      </c>
      <c r="N85" s="10">
        <f>IF(M85=0,"",MAXIFS(ACTIVITIES!$C$2:$C$241,ACTIVITIES!$B$2:$B$241,A85))</f>
        <v>46208</v>
      </c>
    </row>
    <row r="86" ht="15.75" customHeight="1">
      <c r="A86" s="9" t="s">
        <v>362</v>
      </c>
      <c r="B86" s="9" t="s">
        <v>347</v>
      </c>
      <c r="C86" s="9" t="str">
        <f>IFERROR(VLOOKUP(B86,CLIENTS!$A$2:$E$91,2,FALSE),"Unassigned")</f>
        <v>Client 056</v>
      </c>
      <c r="D86" s="9" t="str">
        <f>IFERROR(VLOOKUP(B86,CLIENTS!$A$2:$E$91,3,FALSE),"Unassigned")</f>
        <v>El Salvador</v>
      </c>
      <c r="E86" s="9" t="str">
        <f>IFERROR(VLOOKUP(B86,CLIENTS!$A$2:$E$91,4,FALSE),"Unassigned")</f>
        <v>SMB</v>
      </c>
      <c r="F86" s="10">
        <v>46068.0</v>
      </c>
      <c r="G86" s="10">
        <v>46054.0</v>
      </c>
      <c r="H86" s="9" t="s">
        <v>46</v>
      </c>
      <c r="I86" s="9" t="s">
        <v>102</v>
      </c>
      <c r="J86" s="9" t="s">
        <v>42</v>
      </c>
      <c r="K86" s="9" t="s">
        <v>105</v>
      </c>
      <c r="L86" s="11">
        <v>3095.0</v>
      </c>
      <c r="M86" s="9">
        <f>COUNTIF(ACTIVITIES!$B$2:$B$241,A86)</f>
        <v>2</v>
      </c>
      <c r="N86" s="10">
        <f>IF(M86=0,"",MAXIFS(ACTIVITIES!$C$2:$C$241,ACTIVITIES!$B$2:$B$241,A86))</f>
        <v>46213</v>
      </c>
    </row>
    <row r="87" ht="15.75" customHeight="1">
      <c r="A87" s="9" t="s">
        <v>486</v>
      </c>
      <c r="B87" s="9" t="s">
        <v>373</v>
      </c>
      <c r="C87" s="9" t="str">
        <f>IFERROR(VLOOKUP(B87,CLIENTS!$A$2:$E$91,2,FALSE),"Unassigned")</f>
        <v>Client 063</v>
      </c>
      <c r="D87" s="9" t="str">
        <f>IFERROR(VLOOKUP(B87,CLIENTS!$A$2:$E$91,3,FALSE),"Unassigned")</f>
        <v>Colombia</v>
      </c>
      <c r="E87" s="9" t="str">
        <f>IFERROR(VLOOKUP(B87,CLIENTS!$A$2:$E$91,4,FALSE),"Unassigned")</f>
        <v>Hospitality</v>
      </c>
      <c r="F87" s="10">
        <v>46077.0</v>
      </c>
      <c r="G87" s="10">
        <v>46054.0</v>
      </c>
      <c r="H87" s="9" t="s">
        <v>65</v>
      </c>
      <c r="I87" s="9" t="s">
        <v>51</v>
      </c>
      <c r="J87" s="9" t="s">
        <v>50</v>
      </c>
      <c r="K87" s="9" t="s">
        <v>55</v>
      </c>
      <c r="L87" s="11">
        <v>3232.0</v>
      </c>
      <c r="M87" s="9">
        <f>COUNTIF(ACTIVITIES!$B$2:$B$241,A87)</f>
        <v>1</v>
      </c>
      <c r="N87" s="10">
        <f>IF(M87=0,"",MAXIFS(ACTIVITIES!$C$2:$C$241,ACTIVITIES!$B$2:$B$241,A87))</f>
        <v>46088</v>
      </c>
    </row>
    <row r="88" ht="15.75" customHeight="1">
      <c r="A88" s="9" t="s">
        <v>522</v>
      </c>
      <c r="B88" s="9" t="s">
        <v>398</v>
      </c>
      <c r="C88" s="9" t="str">
        <f>IFERROR(VLOOKUP(B88,CLIENTS!$A$2:$E$91,2,FALSE),"Unassigned")</f>
        <v>Client 070</v>
      </c>
      <c r="D88" s="9" t="str">
        <f>IFERROR(VLOOKUP(B88,CLIENTS!$A$2:$E$91,3,FALSE),"Unassigned")</f>
        <v>Spain</v>
      </c>
      <c r="E88" s="9" t="str">
        <f>IFERROR(VLOOKUP(B88,CLIENTS!$A$2:$E$91,4,FALSE),"Unassigned")</f>
        <v>E-commerce</v>
      </c>
      <c r="F88" s="10">
        <v>46086.0</v>
      </c>
      <c r="G88" s="10">
        <v>46082.0</v>
      </c>
      <c r="H88" s="9" t="s">
        <v>79</v>
      </c>
      <c r="I88" s="9" t="s">
        <v>68</v>
      </c>
      <c r="J88" s="9" t="s">
        <v>59</v>
      </c>
      <c r="K88" s="9" t="s">
        <v>72</v>
      </c>
      <c r="L88" s="11">
        <v>3369.0</v>
      </c>
      <c r="M88" s="9">
        <f>COUNTIF(ACTIVITIES!$B$2:$B$241,A88)</f>
        <v>1</v>
      </c>
      <c r="N88" s="10">
        <f>IF(M88=0,"",MAXIFS(ACTIVITIES!$C$2:$C$241,ACTIVITIES!$B$2:$B$241,A88))</f>
        <v>46028</v>
      </c>
    </row>
    <row r="89" ht="15.75" customHeight="1">
      <c r="A89" s="9" t="s">
        <v>151</v>
      </c>
      <c r="B89" s="9" t="s">
        <v>424</v>
      </c>
      <c r="C89" s="9" t="str">
        <f>IFERROR(VLOOKUP(B89,CLIENTS!$A$2:$E$91,2,FALSE),"Unassigned")</f>
        <v>Client 077</v>
      </c>
      <c r="D89" s="9" t="str">
        <f>IFERROR(VLOOKUP(B89,CLIENTS!$A$2:$E$91,3,FALSE),"Unassigned")</f>
        <v>United States</v>
      </c>
      <c r="E89" s="9" t="str">
        <f>IFERROR(VLOOKUP(B89,CLIENTS!$A$2:$E$91,4,FALSE),"Unassigned")</f>
        <v>Professional Services</v>
      </c>
      <c r="F89" s="10">
        <v>46095.0</v>
      </c>
      <c r="G89" s="10">
        <v>46082.0</v>
      </c>
      <c r="H89" s="9" t="s">
        <v>89</v>
      </c>
      <c r="I89" s="9" t="s">
        <v>80</v>
      </c>
      <c r="J89" s="9" t="s">
        <v>71</v>
      </c>
      <c r="K89" s="9" t="s">
        <v>83</v>
      </c>
      <c r="L89" s="11">
        <v>3506.0</v>
      </c>
      <c r="M89" s="9">
        <f>COUNTIF(ACTIVITIES!$B$2:$B$241,A89)</f>
        <v>2</v>
      </c>
      <c r="N89" s="10">
        <f>IF(M89=0,"",MAXIFS(ACTIVITIES!$C$2:$C$241,ACTIVITIES!$B$2:$B$241,A89))</f>
        <v>46213</v>
      </c>
    </row>
    <row r="90" ht="15.75" customHeight="1">
      <c r="A90" s="9" t="s">
        <v>308</v>
      </c>
      <c r="B90" s="9" t="s">
        <v>446</v>
      </c>
      <c r="C90" s="9" t="str">
        <f>IFERROR(VLOOKUP(B90,CLIENTS!$A$2:$E$91,2,FALSE),"Unassigned")</f>
        <v>Client 084</v>
      </c>
      <c r="D90" s="9" t="str">
        <f>IFERROR(VLOOKUP(B90,CLIENTS!$A$2:$E$91,3,FALSE),"Unassigned")</f>
        <v>Mexico</v>
      </c>
      <c r="E90" s="9" t="str">
        <f>IFERROR(VLOOKUP(B90,CLIENTS!$A$2:$E$91,4,FALSE),"Unassigned")</f>
        <v>SMB</v>
      </c>
      <c r="F90" s="10">
        <v>46104.0</v>
      </c>
      <c r="G90" s="10">
        <v>46082.0</v>
      </c>
      <c r="H90" s="9" t="s">
        <v>100</v>
      </c>
      <c r="I90" s="9" t="s">
        <v>91</v>
      </c>
      <c r="J90" s="9" t="s">
        <v>42</v>
      </c>
      <c r="K90" s="9" t="s">
        <v>94</v>
      </c>
      <c r="L90" s="11">
        <v>0.0</v>
      </c>
      <c r="M90" s="9">
        <f>COUNTIF(ACTIVITIES!$B$2:$B$241,A90)</f>
        <v>2</v>
      </c>
      <c r="N90" s="10">
        <f>IF(M90=0,"",MAXIFS(ACTIVITIES!$C$2:$C$241,ACTIVITIES!$B$2:$B$241,A90))</f>
        <v>46153</v>
      </c>
    </row>
    <row r="91" ht="15.75" customHeight="1">
      <c r="A91" s="9" t="s">
        <v>460</v>
      </c>
      <c r="C91" s="9" t="str">
        <f>IFERROR(VLOOKUP(B91,CLIENTS!$A$2:$E$91,2,FALSE),"Unassigned")</f>
        <v>Unassigned</v>
      </c>
      <c r="D91" s="9" t="str">
        <f>IFERROR(VLOOKUP(B91,CLIENTS!$A$2:$E$91,3,FALSE),"Unassigned")</f>
        <v>Unassigned</v>
      </c>
      <c r="E91" s="9" t="str">
        <f>IFERROR(VLOOKUP(B91,CLIENTS!$A$2:$E$91,4,FALSE),"Unassigned")</f>
        <v>Unassigned</v>
      </c>
      <c r="F91" s="10">
        <v>46113.0</v>
      </c>
      <c r="G91" s="10">
        <v>46113.0</v>
      </c>
      <c r="H91" s="9" t="s">
        <v>110</v>
      </c>
      <c r="I91" s="9" t="s">
        <v>102</v>
      </c>
      <c r="J91" s="9" t="s">
        <v>50</v>
      </c>
      <c r="K91" s="9" t="s">
        <v>105</v>
      </c>
      <c r="L91" s="11">
        <v>3780.0</v>
      </c>
      <c r="M91" s="9">
        <f>COUNTIF(ACTIVITIES!$B$2:$B$241,A91)</f>
        <v>1</v>
      </c>
      <c r="N91" s="10">
        <f>IF(M91=0,"",MAXIFS(ACTIVITIES!$C$2:$C$241,ACTIVITIES!$B$2:$B$241,A91))</f>
        <v>46028</v>
      </c>
    </row>
    <row r="92" ht="15.75" customHeight="1">
      <c r="A92" s="9" t="s">
        <v>527</v>
      </c>
      <c r="B92" s="9" t="s">
        <v>43</v>
      </c>
      <c r="C92" s="9" t="str">
        <f>IFERROR(VLOOKUP(B92,CLIENTS!$A$2:$E$91,2,FALSE),"Unassigned")</f>
        <v>Client 008</v>
      </c>
      <c r="D92" s="9" t="str">
        <f>IFERROR(VLOOKUP(B92,CLIENTS!$A$2:$E$91,3,FALSE),"Unassigned")</f>
        <v>Colombia</v>
      </c>
      <c r="E92" s="9" t="str">
        <f>IFERROR(VLOOKUP(B92,CLIENTS!$A$2:$E$91,4,FALSE),"Unassigned")</f>
        <v>SMB</v>
      </c>
      <c r="F92" s="10">
        <v>46122.0</v>
      </c>
      <c r="G92" s="10">
        <v>46113.0</v>
      </c>
      <c r="H92" s="9" t="s">
        <v>46</v>
      </c>
      <c r="I92" s="9" t="s">
        <v>51</v>
      </c>
      <c r="J92" s="9" t="s">
        <v>59</v>
      </c>
      <c r="K92" s="9" t="s">
        <v>55</v>
      </c>
      <c r="L92" s="11">
        <v>3917.0</v>
      </c>
      <c r="M92" s="9">
        <f>COUNTIF(ACTIVITIES!$B$2:$B$241,A92)</f>
        <v>1</v>
      </c>
      <c r="N92" s="10">
        <f>IF(M92=0,"",MAXIFS(ACTIVITIES!$C$2:$C$241,ACTIVITIES!$B$2:$B$241,A92))</f>
        <v>46213</v>
      </c>
    </row>
    <row r="93" ht="15.75" customHeight="1">
      <c r="A93" s="9" t="s">
        <v>95</v>
      </c>
      <c r="B93" s="9" t="s">
        <v>64</v>
      </c>
      <c r="C93" s="9" t="str">
        <f>IFERROR(VLOOKUP(B93,CLIENTS!$A$2:$E$91,2,FALSE),"Unassigned")</f>
        <v>Client 015</v>
      </c>
      <c r="D93" s="9" t="str">
        <f>IFERROR(VLOOKUP(B93,CLIENTS!$A$2:$E$91,3,FALSE),"Unassigned")</f>
        <v>Spain</v>
      </c>
      <c r="E93" s="9" t="str">
        <f>IFERROR(VLOOKUP(B93,CLIENTS!$A$2:$E$91,4,FALSE),"Unassigned")</f>
        <v>Hospitality</v>
      </c>
      <c r="F93" s="10">
        <v>46131.0</v>
      </c>
      <c r="G93" s="10">
        <v>46113.0</v>
      </c>
      <c r="H93" s="9" t="s">
        <v>65</v>
      </c>
      <c r="I93" s="9" t="s">
        <v>68</v>
      </c>
      <c r="J93" s="9" t="s">
        <v>71</v>
      </c>
      <c r="K93" s="9" t="s">
        <v>72</v>
      </c>
      <c r="L93" s="11">
        <v>4054.0</v>
      </c>
      <c r="M93" s="9">
        <f>COUNTIF(ACTIVITIES!$B$2:$B$241,A93)</f>
        <v>2</v>
      </c>
      <c r="N93" s="10">
        <f>IF(M93=0,"",MAXIFS(ACTIVITIES!$C$2:$C$241,ACTIVITIES!$B$2:$B$241,A93))</f>
        <v>46153</v>
      </c>
    </row>
    <row r="94" ht="15.75" customHeight="1">
      <c r="A94" s="9" t="s">
        <v>251</v>
      </c>
      <c r="B94" s="9" t="s">
        <v>77</v>
      </c>
      <c r="C94" s="9" t="str">
        <f>IFERROR(VLOOKUP(B94,CLIENTS!$A$2:$E$91,2,FALSE),"Unassigned")</f>
        <v>Client 022</v>
      </c>
      <c r="D94" s="9" t="str">
        <f>IFERROR(VLOOKUP(B94,CLIENTS!$A$2:$E$91,3,FALSE),"Unassigned")</f>
        <v>United States</v>
      </c>
      <c r="E94" s="9" t="str">
        <f>IFERROR(VLOOKUP(B94,CLIENTS!$A$2:$E$91,4,FALSE),"Unassigned")</f>
        <v>E-commerce</v>
      </c>
      <c r="F94" s="10">
        <v>46140.0</v>
      </c>
      <c r="G94" s="10">
        <v>46113.0</v>
      </c>
      <c r="H94" s="9" t="s">
        <v>79</v>
      </c>
      <c r="I94" s="9" t="s">
        <v>80</v>
      </c>
      <c r="J94" s="9" t="s">
        <v>42</v>
      </c>
      <c r="K94" s="9" t="s">
        <v>83</v>
      </c>
      <c r="L94" s="11">
        <v>4191.0</v>
      </c>
      <c r="M94" s="9">
        <f>COUNTIF(ACTIVITIES!$B$2:$B$241,A94)</f>
        <v>2</v>
      </c>
      <c r="N94" s="10">
        <f>IF(M94=0,"",MAXIFS(ACTIVITIES!$C$2:$C$241,ACTIVITIES!$B$2:$B$241,A94))</f>
        <v>46093</v>
      </c>
    </row>
    <row r="95" ht="15.75" customHeight="1">
      <c r="A95" s="9" t="s">
        <v>415</v>
      </c>
      <c r="B95" s="9" t="s">
        <v>88</v>
      </c>
      <c r="C95" s="9" t="str">
        <f>IFERROR(VLOOKUP(B95,CLIENTS!$A$2:$E$91,2,FALSE),"Unassigned")</f>
        <v>Client 029</v>
      </c>
      <c r="D95" s="9" t="str">
        <f>IFERROR(VLOOKUP(B95,CLIENTS!$A$2:$E$91,3,FALSE),"Unassigned")</f>
        <v>Mexico</v>
      </c>
      <c r="E95" s="9" t="str">
        <f>IFERROR(VLOOKUP(B95,CLIENTS!$A$2:$E$91,4,FALSE),"Unassigned")</f>
        <v>Professional Services</v>
      </c>
      <c r="F95" s="10">
        <v>46149.0</v>
      </c>
      <c r="G95" s="10">
        <v>46143.0</v>
      </c>
      <c r="H95" s="9" t="s">
        <v>89</v>
      </c>
      <c r="I95" s="9" t="s">
        <v>91</v>
      </c>
      <c r="J95" s="9" t="s">
        <v>50</v>
      </c>
      <c r="K95" s="9" t="s">
        <v>94</v>
      </c>
      <c r="L95" s="11">
        <v>0.0</v>
      </c>
      <c r="M95" s="9">
        <f>COUNTIF(ACTIVITIES!$B$2:$B$241,A95)</f>
        <v>1</v>
      </c>
      <c r="N95" s="10">
        <f>IF(M95=0,"",MAXIFS(ACTIVITIES!$C$2:$C$241,ACTIVITIES!$B$2:$B$241,A95))</f>
        <v>46213</v>
      </c>
    </row>
    <row r="96" ht="15.75" customHeight="1">
      <c r="A96" s="9" t="s">
        <v>507</v>
      </c>
      <c r="B96" s="9" t="s">
        <v>98</v>
      </c>
      <c r="C96" s="9" t="str">
        <f>IFERROR(VLOOKUP(B96,CLIENTS!$A$2:$E$91,2,FALSE),"Unassigned")</f>
        <v>Client 036</v>
      </c>
      <c r="D96" s="9" t="str">
        <f>IFERROR(VLOOKUP(B96,CLIENTS!$A$2:$E$91,3,FALSE),"Unassigned")</f>
        <v>El Salvador</v>
      </c>
      <c r="E96" s="9" t="str">
        <f>IFERROR(VLOOKUP(B96,CLIENTS!$A$2:$E$91,4,FALSE),"Unassigned")</f>
        <v>SMB</v>
      </c>
      <c r="F96" s="10">
        <v>46158.0</v>
      </c>
      <c r="G96" s="10">
        <v>46143.0</v>
      </c>
      <c r="H96" s="9" t="s">
        <v>100</v>
      </c>
      <c r="I96" s="9" t="s">
        <v>102</v>
      </c>
      <c r="J96" s="9" t="s">
        <v>59</v>
      </c>
      <c r="K96" s="9" t="s">
        <v>105</v>
      </c>
      <c r="L96" s="11">
        <v>4465.0</v>
      </c>
      <c r="M96" s="9">
        <f>COUNTIF(ACTIVITIES!$B$2:$B$241,A96)</f>
        <v>1</v>
      </c>
      <c r="N96" s="10">
        <f>IF(M96=0,"",MAXIFS(ACTIVITIES!$C$2:$C$241,ACTIVITIES!$B$2:$B$241,A96))</f>
        <v>46153</v>
      </c>
    </row>
    <row r="97" ht="15.75" customHeight="1">
      <c r="A97" s="9" t="s">
        <v>545</v>
      </c>
      <c r="C97" s="9" t="str">
        <f>IFERROR(VLOOKUP(B97,CLIENTS!$A$2:$E$91,2,FALSE),"Unassigned")</f>
        <v>Unassigned</v>
      </c>
      <c r="D97" s="9" t="str">
        <f>IFERROR(VLOOKUP(B97,CLIENTS!$A$2:$E$91,3,FALSE),"Unassigned")</f>
        <v>Unassigned</v>
      </c>
      <c r="E97" s="9" t="str">
        <f>IFERROR(VLOOKUP(B97,CLIENTS!$A$2:$E$91,4,FALSE),"Unassigned")</f>
        <v>Unassigned</v>
      </c>
      <c r="F97" s="10">
        <v>46167.0</v>
      </c>
      <c r="G97" s="10">
        <v>46143.0</v>
      </c>
      <c r="H97" s="9" t="s">
        <v>110</v>
      </c>
      <c r="I97" s="9" t="s">
        <v>51</v>
      </c>
      <c r="J97" s="9" t="s">
        <v>71</v>
      </c>
      <c r="K97" s="9" t="s">
        <v>55</v>
      </c>
      <c r="L97" s="11">
        <v>4602.0</v>
      </c>
      <c r="M97" s="9">
        <f>COUNTIF(ACTIVITIES!$B$2:$B$241,A97)</f>
        <v>1</v>
      </c>
      <c r="N97" s="10">
        <f>IF(M97=0,"",MAXIFS(ACTIVITIES!$C$2:$C$241,ACTIVITIES!$B$2:$B$241,A97))</f>
        <v>46093</v>
      </c>
    </row>
    <row r="98" ht="15.75" customHeight="1">
      <c r="A98" s="9" t="s">
        <v>200</v>
      </c>
      <c r="B98" s="9" t="s">
        <v>115</v>
      </c>
      <c r="C98" s="9" t="str">
        <f>IFERROR(VLOOKUP(B98,CLIENTS!$A$2:$E$91,2,FALSE),"Unassigned")</f>
        <v>Client 050</v>
      </c>
      <c r="D98" s="9" t="str">
        <f>IFERROR(VLOOKUP(B98,CLIENTS!$A$2:$E$91,3,FALSE),"Unassigned")</f>
        <v>Spain</v>
      </c>
      <c r="E98" s="9" t="str">
        <f>IFERROR(VLOOKUP(B98,CLIENTS!$A$2:$E$91,4,FALSE),"Unassigned")</f>
        <v>E-commerce</v>
      </c>
      <c r="F98" s="10">
        <v>46176.0</v>
      </c>
      <c r="G98" s="10">
        <v>46174.0</v>
      </c>
      <c r="H98" s="9" t="s">
        <v>46</v>
      </c>
      <c r="I98" s="9" t="s">
        <v>68</v>
      </c>
      <c r="J98" s="9" t="s">
        <v>42</v>
      </c>
      <c r="K98" s="9" t="s">
        <v>72</v>
      </c>
      <c r="L98" s="11">
        <v>4739.0</v>
      </c>
      <c r="M98" s="9">
        <f>COUNTIF(ACTIVITIES!$B$2:$B$241,A98)</f>
        <v>2</v>
      </c>
      <c r="N98" s="10">
        <f>IF(M98=0,"",MAXIFS(ACTIVITIES!$C$2:$C$241,ACTIVITIES!$B$2:$B$241,A98))</f>
        <v>46213</v>
      </c>
    </row>
    <row r="99" ht="15.75" customHeight="1">
      <c r="A99" s="9" t="s">
        <v>367</v>
      </c>
      <c r="B99" s="9" t="s">
        <v>123</v>
      </c>
      <c r="C99" s="9" t="str">
        <f>IFERROR(VLOOKUP(B99,CLIENTS!$A$2:$E$91,2,FALSE),"Unassigned")</f>
        <v>Client 057</v>
      </c>
      <c r="D99" s="9" t="str">
        <f>IFERROR(VLOOKUP(B99,CLIENTS!$A$2:$E$91,3,FALSE),"Unassigned")</f>
        <v>United States</v>
      </c>
      <c r="E99" s="9" t="str">
        <f>IFERROR(VLOOKUP(B99,CLIENTS!$A$2:$E$91,4,FALSE),"Unassigned")</f>
        <v>Professional Services</v>
      </c>
      <c r="F99" s="10">
        <v>46185.0</v>
      </c>
      <c r="G99" s="10">
        <v>46174.0</v>
      </c>
      <c r="H99" s="9" t="s">
        <v>65</v>
      </c>
      <c r="I99" s="9" t="s">
        <v>80</v>
      </c>
      <c r="J99" s="9" t="s">
        <v>50</v>
      </c>
      <c r="K99" s="9" t="s">
        <v>83</v>
      </c>
      <c r="L99" s="11">
        <v>4876.0</v>
      </c>
      <c r="M99" s="9">
        <f>COUNTIF(ACTIVITIES!$B$2:$B$241,A99)</f>
        <v>2</v>
      </c>
      <c r="N99" s="10">
        <f>IF(M99=0,"",MAXIFS(ACTIVITIES!$C$2:$C$241,ACTIVITIES!$B$2:$B$241,A99))</f>
        <v>46218</v>
      </c>
    </row>
    <row r="100" ht="15.75" customHeight="1">
      <c r="A100" s="9" t="s">
        <v>488</v>
      </c>
      <c r="B100" s="9" t="s">
        <v>132</v>
      </c>
      <c r="C100" s="9" t="str">
        <f>IFERROR(VLOOKUP(B100,CLIENTS!$A$2:$E$91,2,FALSE),"Unassigned")</f>
        <v>Client 064</v>
      </c>
      <c r="D100" s="9" t="str">
        <f>IFERROR(VLOOKUP(B100,CLIENTS!$A$2:$E$91,3,FALSE),"Unassigned")</f>
        <v>Mexico</v>
      </c>
      <c r="E100" s="9" t="str">
        <f>IFERROR(VLOOKUP(B100,CLIENTS!$A$2:$E$91,4,FALSE),"Unassigned")</f>
        <v>SMB</v>
      </c>
      <c r="F100" s="10">
        <v>46194.0</v>
      </c>
      <c r="G100" s="10">
        <v>46174.0</v>
      </c>
      <c r="H100" s="9" t="s">
        <v>79</v>
      </c>
      <c r="I100" s="9" t="s">
        <v>91</v>
      </c>
      <c r="J100" s="9" t="s">
        <v>59</v>
      </c>
      <c r="K100" s="9" t="s">
        <v>94</v>
      </c>
      <c r="L100" s="11">
        <v>0.0</v>
      </c>
      <c r="M100" s="9">
        <f>COUNTIF(ACTIVITIES!$B$2:$B$241,A100)</f>
        <v>1</v>
      </c>
      <c r="N100" s="10">
        <f>IF(M100=0,"",MAXIFS(ACTIVITIES!$C$2:$C$241,ACTIVITIES!$B$2:$B$241,A100))</f>
        <v>46093</v>
      </c>
    </row>
    <row r="101" ht="15.75" customHeight="1">
      <c r="A101" s="9" t="s">
        <v>547</v>
      </c>
      <c r="B101" s="9" t="s">
        <v>142</v>
      </c>
      <c r="C101" s="9" t="str">
        <f>IFERROR(VLOOKUP(B101,CLIENTS!$A$2:$E$91,2,FALSE),"Unassigned")</f>
        <v>Client 071</v>
      </c>
      <c r="D101" s="9" t="str">
        <f>IFERROR(VLOOKUP(B101,CLIENTS!$A$2:$E$91,3,FALSE),"Unassigned")</f>
        <v>El Salvador</v>
      </c>
      <c r="E101" s="9" t="str">
        <f>IFERROR(VLOOKUP(B101,CLIENTS!$A$2:$E$91,4,FALSE),"Unassigned")</f>
        <v>Hospitality</v>
      </c>
      <c r="F101" s="10">
        <v>46203.0</v>
      </c>
      <c r="G101" s="10">
        <v>46174.0</v>
      </c>
      <c r="H101" s="9" t="s">
        <v>89</v>
      </c>
      <c r="I101" s="9" t="s">
        <v>102</v>
      </c>
      <c r="J101" s="9" t="s">
        <v>71</v>
      </c>
      <c r="K101" s="9" t="s">
        <v>105</v>
      </c>
      <c r="L101" s="11">
        <v>5150.0</v>
      </c>
      <c r="M101" s="9">
        <f>COUNTIF(ACTIVITIES!$B$2:$B$241,A101)</f>
        <v>1</v>
      </c>
      <c r="N101" s="10">
        <f>IF(M101=0,"",MAXIFS(ACTIVITIES!$C$2:$C$241,ACTIVITIES!$B$2:$B$241,A101))</f>
        <v>46033</v>
      </c>
    </row>
    <row r="102" ht="15.75" customHeight="1">
      <c r="A102" s="9" t="s">
        <v>154</v>
      </c>
      <c r="B102" s="9" t="s">
        <v>148</v>
      </c>
      <c r="C102" s="9" t="str">
        <f>IFERROR(VLOOKUP(B102,CLIENTS!$A$2:$E$91,2,FALSE),"Unassigned")</f>
        <v>Client 078</v>
      </c>
      <c r="D102" s="9" t="str">
        <f>IFERROR(VLOOKUP(B102,CLIENTS!$A$2:$E$91,3,FALSE),"Unassigned")</f>
        <v>Colombia</v>
      </c>
      <c r="E102" s="9" t="str">
        <f>IFERROR(VLOOKUP(B102,CLIENTS!$A$2:$E$91,4,FALSE),"Unassigned")</f>
        <v>E-commerce</v>
      </c>
      <c r="F102" s="10">
        <v>46212.0</v>
      </c>
      <c r="G102" s="10">
        <v>46204.0</v>
      </c>
      <c r="H102" s="9" t="s">
        <v>100</v>
      </c>
      <c r="I102" s="9" t="s">
        <v>51</v>
      </c>
      <c r="J102" s="9" t="s">
        <v>42</v>
      </c>
      <c r="K102" s="9" t="s">
        <v>55</v>
      </c>
      <c r="L102" s="11">
        <v>687.0</v>
      </c>
      <c r="M102" s="9">
        <f>COUNTIF(ACTIVITIES!$B$2:$B$241,A102)</f>
        <v>2</v>
      </c>
      <c r="N102" s="10">
        <f>IF(M102=0,"",MAXIFS(ACTIVITIES!$C$2:$C$241,ACTIVITIES!$B$2:$B$241,A102))</f>
        <v>46218</v>
      </c>
    </row>
    <row r="103" ht="15.75" customHeight="1">
      <c r="A103" s="9" t="s">
        <v>315</v>
      </c>
      <c r="C103" s="9" t="str">
        <f>IFERROR(VLOOKUP(B103,CLIENTS!$A$2:$E$91,2,FALSE),"Unassigned")</f>
        <v>Unassigned</v>
      </c>
      <c r="D103" s="9" t="str">
        <f>IFERROR(VLOOKUP(B103,CLIENTS!$A$2:$E$91,3,FALSE),"Unassigned")</f>
        <v>Unassigned</v>
      </c>
      <c r="E103" s="9" t="str">
        <f>IFERROR(VLOOKUP(B103,CLIENTS!$A$2:$E$91,4,FALSE),"Unassigned")</f>
        <v>Unassigned</v>
      </c>
      <c r="F103" s="10">
        <v>46221.0</v>
      </c>
      <c r="G103" s="10">
        <v>46204.0</v>
      </c>
      <c r="H103" s="9" t="s">
        <v>110</v>
      </c>
      <c r="I103" s="9" t="s">
        <v>68</v>
      </c>
      <c r="J103" s="9" t="s">
        <v>50</v>
      </c>
      <c r="K103" s="9" t="s">
        <v>72</v>
      </c>
      <c r="L103" s="11">
        <v>824.0</v>
      </c>
      <c r="M103" s="9">
        <f>COUNTIF(ACTIVITIES!$B$2:$B$241,A103)</f>
        <v>2</v>
      </c>
      <c r="N103" s="10">
        <f>IF(M103=0,"",MAXIFS(ACTIVITIES!$C$2:$C$241,ACTIVITIES!$B$2:$B$241,A103))</f>
        <v>46158</v>
      </c>
    </row>
    <row r="104" ht="15.75" customHeight="1">
      <c r="A104" s="9" t="s">
        <v>463</v>
      </c>
      <c r="B104" s="9" t="s">
        <v>53</v>
      </c>
      <c r="C104" s="9" t="str">
        <f>IFERROR(VLOOKUP(B104,CLIENTS!$A$2:$E$91,2,FALSE),"Unassigned")</f>
        <v>Client 002</v>
      </c>
      <c r="D104" s="9" t="str">
        <f>IFERROR(VLOOKUP(B104,CLIENTS!$A$2:$E$91,3,FALSE),"Unassigned")</f>
        <v>United States</v>
      </c>
      <c r="E104" s="9" t="str">
        <f>IFERROR(VLOOKUP(B104,CLIENTS!$A$2:$E$91,4,FALSE),"Unassigned")</f>
        <v>E-commerce</v>
      </c>
      <c r="F104" s="10">
        <v>46230.0</v>
      </c>
      <c r="G104" s="10">
        <v>46204.0</v>
      </c>
      <c r="H104" s="9" t="s">
        <v>46</v>
      </c>
      <c r="I104" s="9" t="s">
        <v>80</v>
      </c>
      <c r="J104" s="9" t="s">
        <v>59</v>
      </c>
      <c r="K104" s="9" t="s">
        <v>83</v>
      </c>
      <c r="L104" s="11">
        <v>961.0</v>
      </c>
      <c r="M104" s="9">
        <f>COUNTIF(ACTIVITIES!$B$2:$B$241,A104)</f>
        <v>1</v>
      </c>
      <c r="N104" s="10">
        <f>IF(M104=0,"",MAXIFS(ACTIVITIES!$C$2:$C$241,ACTIVITIES!$B$2:$B$241,A104))</f>
        <v>46033</v>
      </c>
    </row>
    <row r="105" ht="15.75" customHeight="1">
      <c r="A105" s="9" t="s">
        <v>529</v>
      </c>
      <c r="B105" s="9" t="s">
        <v>122</v>
      </c>
      <c r="C105" s="9" t="str">
        <f>IFERROR(VLOOKUP(B105,CLIENTS!$A$2:$E$91,2,FALSE),"Unassigned")</f>
        <v>Client 009</v>
      </c>
      <c r="D105" s="9" t="str">
        <f>IFERROR(VLOOKUP(B105,CLIENTS!$A$2:$E$91,3,FALSE),"Unassigned")</f>
        <v>Mexico</v>
      </c>
      <c r="E105" s="9" t="str">
        <f>IFERROR(VLOOKUP(B105,CLIENTS!$A$2:$E$91,4,FALSE),"Unassigned")</f>
        <v>Professional Services</v>
      </c>
      <c r="F105" s="10">
        <v>46239.0</v>
      </c>
      <c r="G105" s="10">
        <v>46235.0</v>
      </c>
      <c r="H105" s="9" t="s">
        <v>65</v>
      </c>
      <c r="I105" s="9" t="s">
        <v>91</v>
      </c>
      <c r="J105" s="9" t="s">
        <v>71</v>
      </c>
      <c r="K105" s="9" t="s">
        <v>94</v>
      </c>
      <c r="L105" s="11">
        <v>0.0</v>
      </c>
      <c r="M105" s="9">
        <f>COUNTIF(ACTIVITIES!$B$2:$B$241,A105)</f>
        <v>1</v>
      </c>
      <c r="N105" s="10">
        <f>IF(M105=0,"",MAXIFS(ACTIVITIES!$C$2:$C$241,ACTIVITIES!$B$2:$B$241,A105))</f>
        <v>46218</v>
      </c>
    </row>
    <row r="106" ht="15.75" customHeight="1">
      <c r="A106" s="9" t="s">
        <v>101</v>
      </c>
      <c r="B106" s="9" t="s">
        <v>169</v>
      </c>
      <c r="C106" s="9" t="str">
        <f>IFERROR(VLOOKUP(B106,CLIENTS!$A$2:$E$91,2,FALSE),"Unassigned")</f>
        <v>Client 016</v>
      </c>
      <c r="D106" s="9" t="str">
        <f>IFERROR(VLOOKUP(B106,CLIENTS!$A$2:$E$91,3,FALSE),"Unassigned")</f>
        <v>El Salvador</v>
      </c>
      <c r="E106" s="9" t="str">
        <f>IFERROR(VLOOKUP(B106,CLIENTS!$A$2:$E$91,4,FALSE),"Unassigned")</f>
        <v>SMB</v>
      </c>
      <c r="F106" s="10">
        <v>46248.0</v>
      </c>
      <c r="G106" s="10">
        <v>46235.0</v>
      </c>
      <c r="H106" s="9" t="s">
        <v>79</v>
      </c>
      <c r="I106" s="9" t="s">
        <v>102</v>
      </c>
      <c r="J106" s="9" t="s">
        <v>42</v>
      </c>
      <c r="K106" s="9" t="s">
        <v>105</v>
      </c>
      <c r="L106" s="11">
        <v>1235.0</v>
      </c>
      <c r="M106" s="9">
        <f>COUNTIF(ACTIVITIES!$B$2:$B$241,A106)</f>
        <v>2</v>
      </c>
      <c r="N106" s="10">
        <f>IF(M106=0,"",MAXIFS(ACTIVITIES!$C$2:$C$241,ACTIVITIES!$B$2:$B$241,A106))</f>
        <v>46158</v>
      </c>
    </row>
    <row r="107" ht="15.75" customHeight="1">
      <c r="A107" s="9" t="s">
        <v>255</v>
      </c>
      <c r="B107" s="9" t="s">
        <v>174</v>
      </c>
      <c r="C107" s="9" t="str">
        <f>IFERROR(VLOOKUP(B107,CLIENTS!$A$2:$E$91,2,FALSE),"Unassigned")</f>
        <v>Client 023</v>
      </c>
      <c r="D107" s="9" t="str">
        <f>IFERROR(VLOOKUP(B107,CLIENTS!$A$2:$E$91,3,FALSE),"Unassigned")</f>
        <v>Colombia</v>
      </c>
      <c r="E107" s="9" t="str">
        <f>IFERROR(VLOOKUP(B107,CLIENTS!$A$2:$E$91,4,FALSE),"Unassigned")</f>
        <v>Hospitality</v>
      </c>
      <c r="F107" s="10">
        <v>46257.0</v>
      </c>
      <c r="G107" s="10">
        <v>46235.0</v>
      </c>
      <c r="H107" s="9" t="s">
        <v>89</v>
      </c>
      <c r="I107" s="9" t="s">
        <v>51</v>
      </c>
      <c r="J107" s="9" t="s">
        <v>50</v>
      </c>
      <c r="K107" s="9" t="s">
        <v>55</v>
      </c>
      <c r="L107" s="11">
        <v>1372.0</v>
      </c>
      <c r="M107" s="9">
        <f>COUNTIF(ACTIVITIES!$B$2:$B$241,A107)</f>
        <v>2</v>
      </c>
      <c r="N107" s="10">
        <f>IF(M107=0,"",MAXIFS(ACTIVITIES!$C$2:$C$241,ACTIVITIES!$B$2:$B$241,A107))</f>
        <v>46098</v>
      </c>
    </row>
    <row r="108" ht="15.75" customHeight="1">
      <c r="A108" s="9" t="s">
        <v>419</v>
      </c>
      <c r="B108" s="9" t="s">
        <v>182</v>
      </c>
      <c r="C108" s="9" t="str">
        <f>IFERROR(VLOOKUP(B108,CLIENTS!$A$2:$E$91,2,FALSE),"Unassigned")</f>
        <v>Client 030</v>
      </c>
      <c r="D108" s="9" t="str">
        <f>IFERROR(VLOOKUP(B108,CLIENTS!$A$2:$E$91,3,FALSE),"Unassigned")</f>
        <v>Spain</v>
      </c>
      <c r="E108" s="9" t="str">
        <f>IFERROR(VLOOKUP(B108,CLIENTS!$A$2:$E$91,4,FALSE),"Unassigned")</f>
        <v>E-commerce</v>
      </c>
      <c r="F108" s="10">
        <v>46026.0</v>
      </c>
      <c r="G108" s="10">
        <v>46023.0</v>
      </c>
      <c r="H108" s="9" t="s">
        <v>100</v>
      </c>
      <c r="I108" s="9" t="s">
        <v>68</v>
      </c>
      <c r="J108" s="9" t="s">
        <v>59</v>
      </c>
      <c r="K108" s="9" t="s">
        <v>72</v>
      </c>
      <c r="L108" s="11">
        <v>1509.0</v>
      </c>
      <c r="M108" s="9">
        <f>COUNTIF(ACTIVITIES!$B$2:$B$241,A108)</f>
        <v>1</v>
      </c>
      <c r="N108" s="10">
        <f>IF(M108=0,"",MAXIFS(ACTIVITIES!$C$2:$C$241,ACTIVITIES!$B$2:$B$241,A108))</f>
        <v>46218</v>
      </c>
    </row>
    <row r="109" ht="15.75" customHeight="1">
      <c r="A109" s="9" t="s">
        <v>509</v>
      </c>
      <c r="C109" s="9" t="str">
        <f>IFERROR(VLOOKUP(B109,CLIENTS!$A$2:$E$91,2,FALSE),"Unassigned")</f>
        <v>Unassigned</v>
      </c>
      <c r="D109" s="9" t="str">
        <f>IFERROR(VLOOKUP(B109,CLIENTS!$A$2:$E$91,3,FALSE),"Unassigned")</f>
        <v>Unassigned</v>
      </c>
      <c r="E109" s="9" t="str">
        <f>IFERROR(VLOOKUP(B109,CLIENTS!$A$2:$E$91,4,FALSE),"Unassigned")</f>
        <v>Unassigned</v>
      </c>
      <c r="F109" s="10">
        <v>46035.0</v>
      </c>
      <c r="G109" s="10">
        <v>46023.0</v>
      </c>
      <c r="H109" s="9" t="s">
        <v>110</v>
      </c>
      <c r="I109" s="9" t="s">
        <v>80</v>
      </c>
      <c r="J109" s="9" t="s">
        <v>71</v>
      </c>
      <c r="K109" s="9" t="s">
        <v>83</v>
      </c>
      <c r="L109" s="11">
        <v>1646.0</v>
      </c>
      <c r="M109" s="9">
        <f>COUNTIF(ACTIVITIES!$B$2:$B$241,A109)</f>
        <v>1</v>
      </c>
      <c r="N109" s="10">
        <f>IF(M109=0,"",MAXIFS(ACTIVITIES!$C$2:$C$241,ACTIVITIES!$B$2:$B$241,A109))</f>
        <v>46158</v>
      </c>
    </row>
    <row r="110" ht="15.75" customHeight="1">
      <c r="A110" s="9" t="s">
        <v>565</v>
      </c>
      <c r="B110" s="9" t="s">
        <v>195</v>
      </c>
      <c r="C110" s="9" t="str">
        <f>IFERROR(VLOOKUP(B110,CLIENTS!$A$2:$E$91,2,FALSE),"Unassigned")</f>
        <v>Client 044</v>
      </c>
      <c r="D110" s="9" t="str">
        <f>IFERROR(VLOOKUP(B110,CLIENTS!$A$2:$E$91,3,FALSE),"Unassigned")</f>
        <v>Mexico</v>
      </c>
      <c r="E110" s="9" t="str">
        <f>IFERROR(VLOOKUP(B110,CLIENTS!$A$2:$E$91,4,FALSE),"Unassigned")</f>
        <v>SMB</v>
      </c>
      <c r="F110" s="10">
        <v>46044.0</v>
      </c>
      <c r="G110" s="10">
        <v>46023.0</v>
      </c>
      <c r="H110" s="9" t="s">
        <v>46</v>
      </c>
      <c r="I110" s="9" t="s">
        <v>91</v>
      </c>
      <c r="J110" s="9" t="s">
        <v>42</v>
      </c>
      <c r="K110" s="9" t="s">
        <v>94</v>
      </c>
      <c r="L110" s="11">
        <v>0.0</v>
      </c>
      <c r="M110" s="9">
        <f>COUNTIF(ACTIVITIES!$B$2:$B$241,A110)</f>
        <v>1</v>
      </c>
      <c r="N110" s="10">
        <f>IF(M110=0,"",MAXIFS(ACTIVITIES!$C$2:$C$241,ACTIVITIES!$B$2:$B$241,A110))</f>
        <v>46098</v>
      </c>
    </row>
    <row r="111" ht="15.75" customHeight="1">
      <c r="A111" s="9" t="s">
        <v>206</v>
      </c>
      <c r="B111" s="9" t="s">
        <v>203</v>
      </c>
      <c r="C111" s="9" t="str">
        <f>IFERROR(VLOOKUP(B111,CLIENTS!$A$2:$E$91,2,FALSE),"Unassigned")</f>
        <v>Client 051</v>
      </c>
      <c r="D111" s="9" t="str">
        <f>IFERROR(VLOOKUP(B111,CLIENTS!$A$2:$E$91,3,FALSE),"Unassigned")</f>
        <v>El Salvador</v>
      </c>
      <c r="E111" s="9" t="str">
        <f>IFERROR(VLOOKUP(B111,CLIENTS!$A$2:$E$91,4,FALSE),"Unassigned")</f>
        <v>Hospitality</v>
      </c>
      <c r="F111" s="10">
        <v>46053.0</v>
      </c>
      <c r="G111" s="10">
        <v>46023.0</v>
      </c>
      <c r="H111" s="9" t="s">
        <v>65</v>
      </c>
      <c r="I111" s="9" t="s">
        <v>102</v>
      </c>
      <c r="J111" s="9" t="s">
        <v>50</v>
      </c>
      <c r="K111" s="9" t="s">
        <v>105</v>
      </c>
      <c r="L111" s="11">
        <v>1920.0</v>
      </c>
      <c r="M111" s="9">
        <f>COUNTIF(ACTIVITIES!$B$2:$B$241,A111)</f>
        <v>2</v>
      </c>
      <c r="N111" s="10">
        <f>IF(M111=0,"",MAXIFS(ACTIVITIES!$C$2:$C$241,ACTIVITIES!$B$2:$B$241,A111))</f>
        <v>46218</v>
      </c>
    </row>
    <row r="112" ht="15.75" customHeight="1">
      <c r="A112" s="9" t="s">
        <v>372</v>
      </c>
      <c r="B112" s="9" t="s">
        <v>212</v>
      </c>
      <c r="C112" s="9" t="str">
        <f>IFERROR(VLOOKUP(B112,CLIENTS!$A$2:$E$91,2,FALSE),"Unassigned")</f>
        <v>Client 058</v>
      </c>
      <c r="D112" s="9" t="str">
        <f>IFERROR(VLOOKUP(B112,CLIENTS!$A$2:$E$91,3,FALSE),"Unassigned")</f>
        <v>Colombia</v>
      </c>
      <c r="E112" s="9" t="str">
        <f>IFERROR(VLOOKUP(B112,CLIENTS!$A$2:$E$91,4,FALSE),"Unassigned")</f>
        <v>E-commerce</v>
      </c>
      <c r="F112" s="10">
        <v>46062.0</v>
      </c>
      <c r="G112" s="10">
        <v>46054.0</v>
      </c>
      <c r="H112" s="9" t="s">
        <v>79</v>
      </c>
      <c r="I112" s="9" t="s">
        <v>51</v>
      </c>
      <c r="J112" s="9" t="s">
        <v>59</v>
      </c>
      <c r="K112" s="9" t="s">
        <v>55</v>
      </c>
      <c r="L112" s="11">
        <v>2057.0</v>
      </c>
      <c r="M112" s="9">
        <f>COUNTIF(ACTIVITIES!$B$2:$B$241,A112)</f>
        <v>2</v>
      </c>
      <c r="N112" s="10">
        <f>IF(M112=0,"",MAXIFS(ACTIVITIES!$C$2:$C$241,ACTIVITIES!$B$2:$B$241,A112))</f>
        <v>46223</v>
      </c>
    </row>
    <row r="113" ht="15.75" customHeight="1">
      <c r="A113" s="9" t="s">
        <v>490</v>
      </c>
      <c r="B113" s="9" t="s">
        <v>220</v>
      </c>
      <c r="C113" s="9" t="str">
        <f>IFERROR(VLOOKUP(B113,CLIENTS!$A$2:$E$91,2,FALSE),"Unassigned")</f>
        <v>Client 065</v>
      </c>
      <c r="D113" s="9" t="str">
        <f>IFERROR(VLOOKUP(B113,CLIENTS!$A$2:$E$91,3,FALSE),"Unassigned")</f>
        <v>Spain</v>
      </c>
      <c r="E113" s="9" t="str">
        <f>IFERROR(VLOOKUP(B113,CLIENTS!$A$2:$E$91,4,FALSE),"Unassigned")</f>
        <v>Professional Services</v>
      </c>
      <c r="F113" s="10">
        <v>46071.0</v>
      </c>
      <c r="G113" s="10">
        <v>46054.0</v>
      </c>
      <c r="H113" s="9" t="s">
        <v>89</v>
      </c>
      <c r="I113" s="9" t="s">
        <v>68</v>
      </c>
      <c r="J113" s="9" t="s">
        <v>71</v>
      </c>
      <c r="K113" s="9" t="s">
        <v>72</v>
      </c>
      <c r="L113" s="11">
        <v>2194.0</v>
      </c>
      <c r="M113" s="9">
        <f>COUNTIF(ACTIVITIES!$B$2:$B$241,A113)</f>
        <v>1</v>
      </c>
      <c r="N113" s="10">
        <f>IF(M113=0,"",MAXIFS(ACTIVITIES!$C$2:$C$241,ACTIVITIES!$B$2:$B$241,A113))</f>
        <v>46098</v>
      </c>
    </row>
    <row r="114" ht="15.75" customHeight="1">
      <c r="A114" s="9" t="s">
        <v>549</v>
      </c>
      <c r="B114" s="9" t="s">
        <v>225</v>
      </c>
      <c r="C114" s="9" t="str">
        <f>IFERROR(VLOOKUP(B114,CLIENTS!$A$2:$E$91,2,FALSE),"Unassigned")</f>
        <v>Client 072</v>
      </c>
      <c r="D114" s="9" t="str">
        <f>IFERROR(VLOOKUP(B114,CLIENTS!$A$2:$E$91,3,FALSE),"Unassigned")</f>
        <v>United States</v>
      </c>
      <c r="E114" s="9" t="str">
        <f>IFERROR(VLOOKUP(B114,CLIENTS!$A$2:$E$91,4,FALSE),"Unassigned")</f>
        <v>SMB</v>
      </c>
      <c r="F114" s="10">
        <v>46080.0</v>
      </c>
      <c r="G114" s="10">
        <v>46054.0</v>
      </c>
      <c r="H114" s="9" t="s">
        <v>100</v>
      </c>
      <c r="I114" s="9" t="s">
        <v>80</v>
      </c>
      <c r="J114" s="9" t="s">
        <v>42</v>
      </c>
      <c r="K114" s="9" t="s">
        <v>83</v>
      </c>
      <c r="L114" s="11">
        <v>2331.0</v>
      </c>
      <c r="M114" s="9">
        <f>COUNTIF(ACTIVITIES!$B$2:$B$241,A114)</f>
        <v>1</v>
      </c>
      <c r="N114" s="10">
        <f>IF(M114=0,"",MAXIFS(ACTIVITIES!$C$2:$C$241,ACTIVITIES!$B$2:$B$241,A114))</f>
        <v>46038</v>
      </c>
    </row>
    <row r="115" ht="15.75" customHeight="1">
      <c r="A115" s="9" t="s">
        <v>158</v>
      </c>
      <c r="C115" s="9" t="str">
        <f>IFERROR(VLOOKUP(B115,CLIENTS!$A$2:$E$91,2,FALSE),"Unassigned")</f>
        <v>Unassigned</v>
      </c>
      <c r="D115" s="9" t="str">
        <f>IFERROR(VLOOKUP(B115,CLIENTS!$A$2:$E$91,3,FALSE),"Unassigned")</f>
        <v>Unassigned</v>
      </c>
      <c r="E115" s="9" t="str">
        <f>IFERROR(VLOOKUP(B115,CLIENTS!$A$2:$E$91,4,FALSE),"Unassigned")</f>
        <v>Unassigned</v>
      </c>
      <c r="F115" s="10">
        <v>46089.0</v>
      </c>
      <c r="G115" s="10">
        <v>46082.0</v>
      </c>
      <c r="H115" s="9" t="s">
        <v>110</v>
      </c>
      <c r="I115" s="9" t="s">
        <v>91</v>
      </c>
      <c r="J115" s="9" t="s">
        <v>50</v>
      </c>
      <c r="K115" s="9" t="s">
        <v>94</v>
      </c>
      <c r="L115" s="11">
        <v>0.0</v>
      </c>
      <c r="M115" s="9">
        <f>COUNTIF(ACTIVITIES!$B$2:$B$241,A115)</f>
        <v>2</v>
      </c>
      <c r="N115" s="10">
        <f>IF(M115=0,"",MAXIFS(ACTIVITIES!$C$2:$C$241,ACTIVITIES!$B$2:$B$241,A115))</f>
        <v>46223</v>
      </c>
    </row>
    <row r="116" ht="15.75" customHeight="1">
      <c r="A116" s="9" t="s">
        <v>320</v>
      </c>
      <c r="B116" s="9" t="s">
        <v>238</v>
      </c>
      <c r="C116" s="9" t="str">
        <f>IFERROR(VLOOKUP(B116,CLIENTS!$A$2:$E$91,2,FALSE),"Unassigned")</f>
        <v>Client 086</v>
      </c>
      <c r="D116" s="9" t="str">
        <f>IFERROR(VLOOKUP(B116,CLIENTS!$A$2:$E$91,3,FALSE),"Unassigned")</f>
        <v>El Salvador</v>
      </c>
      <c r="E116" s="9" t="str">
        <f>IFERROR(VLOOKUP(B116,CLIENTS!$A$2:$E$91,4,FALSE),"Unassigned")</f>
        <v>E-commerce</v>
      </c>
      <c r="F116" s="10">
        <v>46098.0</v>
      </c>
      <c r="G116" s="10">
        <v>46082.0</v>
      </c>
      <c r="H116" s="9" t="s">
        <v>46</v>
      </c>
      <c r="I116" s="9" t="s">
        <v>102</v>
      </c>
      <c r="J116" s="9" t="s">
        <v>59</v>
      </c>
      <c r="K116" s="9" t="s">
        <v>105</v>
      </c>
      <c r="L116" s="11">
        <v>2605.0</v>
      </c>
      <c r="M116" s="9">
        <f>COUNTIF(ACTIVITIES!$B$2:$B$241,A116)</f>
        <v>2</v>
      </c>
      <c r="N116" s="10">
        <f>IF(M116=0,"",MAXIFS(ACTIVITIES!$C$2:$C$241,ACTIVITIES!$B$2:$B$241,A116))</f>
        <v>46163</v>
      </c>
    </row>
    <row r="117" ht="15.75" customHeight="1">
      <c r="A117" s="9" t="s">
        <v>467</v>
      </c>
      <c r="B117" s="9" t="s">
        <v>66</v>
      </c>
      <c r="C117" s="9" t="str">
        <f>IFERROR(VLOOKUP(B117,CLIENTS!$A$2:$E$91,2,FALSE),"Unassigned")</f>
        <v>Client 003</v>
      </c>
      <c r="D117" s="9" t="str">
        <f>IFERROR(VLOOKUP(B117,CLIENTS!$A$2:$E$91,3,FALSE),"Unassigned")</f>
        <v>Colombia</v>
      </c>
      <c r="E117" s="9" t="str">
        <f>IFERROR(VLOOKUP(B117,CLIENTS!$A$2:$E$91,4,FALSE),"Unassigned")</f>
        <v>Hospitality</v>
      </c>
      <c r="F117" s="10">
        <v>46107.0</v>
      </c>
      <c r="G117" s="10">
        <v>46082.0</v>
      </c>
      <c r="H117" s="9" t="s">
        <v>65</v>
      </c>
      <c r="I117" s="9" t="s">
        <v>51</v>
      </c>
      <c r="J117" s="9" t="s">
        <v>71</v>
      </c>
      <c r="K117" s="9" t="s">
        <v>55</v>
      </c>
      <c r="L117" s="11">
        <v>2742.0</v>
      </c>
      <c r="M117" s="9">
        <f>COUNTIF(ACTIVITIES!$B$2:$B$241,A117)</f>
        <v>1</v>
      </c>
      <c r="N117" s="10">
        <f>IF(M117=0,"",MAXIFS(ACTIVITIES!$C$2:$C$241,ACTIVITIES!$B$2:$B$241,A117))</f>
        <v>46038</v>
      </c>
    </row>
    <row r="118" ht="15.75" customHeight="1">
      <c r="A118" s="9" t="s">
        <v>531</v>
      </c>
      <c r="B118" s="9" t="s">
        <v>127</v>
      </c>
      <c r="C118" s="9" t="str">
        <f>IFERROR(VLOOKUP(B118,CLIENTS!$A$2:$E$91,2,FALSE),"Unassigned")</f>
        <v>Client 010</v>
      </c>
      <c r="D118" s="9" t="str">
        <f>IFERROR(VLOOKUP(B118,CLIENTS!$A$2:$E$91,3,FALSE),"Unassigned")</f>
        <v>Spain</v>
      </c>
      <c r="E118" s="9" t="str">
        <f>IFERROR(VLOOKUP(B118,CLIENTS!$A$2:$E$91,4,FALSE),"Unassigned")</f>
        <v>E-commerce</v>
      </c>
      <c r="F118" s="10">
        <v>46116.0</v>
      </c>
      <c r="G118" s="10">
        <v>46113.0</v>
      </c>
      <c r="H118" s="9" t="s">
        <v>79</v>
      </c>
      <c r="I118" s="9" t="s">
        <v>68</v>
      </c>
      <c r="J118" s="9" t="s">
        <v>42</v>
      </c>
      <c r="K118" s="9" t="s">
        <v>72</v>
      </c>
      <c r="L118" s="11">
        <v>2879.0</v>
      </c>
      <c r="M118" s="9">
        <f>COUNTIF(ACTIVITIES!$B$2:$B$241,A118)</f>
        <v>1</v>
      </c>
      <c r="N118" s="10">
        <f>IF(M118=0,"",MAXIFS(ACTIVITIES!$C$2:$C$241,ACTIVITIES!$B$2:$B$241,A118))</f>
        <v>46223</v>
      </c>
    </row>
    <row r="119" ht="15.75" customHeight="1">
      <c r="A119" s="9" t="s">
        <v>108</v>
      </c>
      <c r="B119" s="9" t="s">
        <v>177</v>
      </c>
      <c r="C119" s="9" t="str">
        <f>IFERROR(VLOOKUP(B119,CLIENTS!$A$2:$E$91,2,FALSE),"Unassigned")</f>
        <v>Client 017</v>
      </c>
      <c r="D119" s="9" t="str">
        <f>IFERROR(VLOOKUP(B119,CLIENTS!$A$2:$E$91,3,FALSE),"Unassigned")</f>
        <v>United States</v>
      </c>
      <c r="E119" s="9" t="str">
        <f>IFERROR(VLOOKUP(B119,CLIENTS!$A$2:$E$91,4,FALSE),"Unassigned")</f>
        <v>Professional Services</v>
      </c>
      <c r="F119" s="10">
        <v>46125.0</v>
      </c>
      <c r="G119" s="10">
        <v>46113.0</v>
      </c>
      <c r="H119" s="9" t="s">
        <v>89</v>
      </c>
      <c r="I119" s="9" t="s">
        <v>80</v>
      </c>
      <c r="J119" s="9" t="s">
        <v>50</v>
      </c>
      <c r="K119" s="9" t="s">
        <v>83</v>
      </c>
      <c r="L119" s="11">
        <v>3016.0</v>
      </c>
      <c r="M119" s="9">
        <f>COUNTIF(ACTIVITIES!$B$2:$B$241,A119)</f>
        <v>2</v>
      </c>
      <c r="N119" s="10">
        <f>IF(M119=0,"",MAXIFS(ACTIVITIES!$C$2:$C$241,ACTIVITIES!$B$2:$B$241,A119))</f>
        <v>46163</v>
      </c>
    </row>
    <row r="120" ht="15.75" customHeight="1">
      <c r="A120" s="9" t="s">
        <v>260</v>
      </c>
      <c r="B120" s="9" t="s">
        <v>217</v>
      </c>
      <c r="C120" s="9" t="str">
        <f>IFERROR(VLOOKUP(B120,CLIENTS!$A$2:$E$91,2,FALSE),"Unassigned")</f>
        <v>Client 024</v>
      </c>
      <c r="D120" s="9" t="str">
        <f>IFERROR(VLOOKUP(B120,CLIENTS!$A$2:$E$91,3,FALSE),"Unassigned")</f>
        <v>Mexico</v>
      </c>
      <c r="E120" s="9" t="str">
        <f>IFERROR(VLOOKUP(B120,CLIENTS!$A$2:$E$91,4,FALSE),"Unassigned")</f>
        <v>SMB</v>
      </c>
      <c r="F120" s="10">
        <v>46134.0</v>
      </c>
      <c r="G120" s="10">
        <v>46113.0</v>
      </c>
      <c r="H120" s="9" t="s">
        <v>100</v>
      </c>
      <c r="I120" s="9" t="s">
        <v>91</v>
      </c>
      <c r="J120" s="9" t="s">
        <v>59</v>
      </c>
      <c r="K120" s="9" t="s">
        <v>94</v>
      </c>
      <c r="L120" s="11">
        <v>0.0</v>
      </c>
      <c r="M120" s="9">
        <f>COUNTIF(ACTIVITIES!$B$2:$B$241,A120)</f>
        <v>2</v>
      </c>
      <c r="N120" s="10">
        <f>IF(M120=0,"",MAXIFS(ACTIVITIES!$C$2:$C$241,ACTIVITIES!$B$2:$B$241,A120))</f>
        <v>46103</v>
      </c>
    </row>
    <row r="121" ht="15.75" customHeight="1">
      <c r="A121" s="9" t="s">
        <v>423</v>
      </c>
      <c r="C121" s="9" t="str">
        <f>IFERROR(VLOOKUP(B121,CLIENTS!$A$2:$E$91,2,FALSE),"Unassigned")</f>
        <v>Unassigned</v>
      </c>
      <c r="D121" s="9" t="str">
        <f>IFERROR(VLOOKUP(B121,CLIENTS!$A$2:$E$91,3,FALSE),"Unassigned")</f>
        <v>Unassigned</v>
      </c>
      <c r="E121" s="9" t="str">
        <f>IFERROR(VLOOKUP(B121,CLIENTS!$A$2:$E$91,4,FALSE),"Unassigned")</f>
        <v>Unassigned</v>
      </c>
      <c r="F121" s="10">
        <v>46143.0</v>
      </c>
      <c r="G121" s="10">
        <v>46143.0</v>
      </c>
      <c r="H121" s="9" t="s">
        <v>110</v>
      </c>
      <c r="I121" s="9" t="s">
        <v>102</v>
      </c>
      <c r="J121" s="9" t="s">
        <v>71</v>
      </c>
      <c r="K121" s="9" t="s">
        <v>105</v>
      </c>
      <c r="L121" s="11">
        <v>3290.0</v>
      </c>
      <c r="M121" s="9">
        <f>COUNTIF(ACTIVITIES!$B$2:$B$241,A121)</f>
        <v>1</v>
      </c>
      <c r="N121" s="10">
        <f>IF(M121=0,"",MAXIFS(ACTIVITIES!$C$2:$C$241,ACTIVITIES!$B$2:$B$241,A121))</f>
        <v>46223</v>
      </c>
    </row>
    <row r="122" ht="15.75" customHeight="1">
      <c r="A122" s="9" t="s">
        <v>512</v>
      </c>
      <c r="B122" s="9" t="s">
        <v>269</v>
      </c>
      <c r="C122" s="9" t="str">
        <f>IFERROR(VLOOKUP(B122,CLIENTS!$A$2:$E$91,2,FALSE),"Unassigned")</f>
        <v>Client 038</v>
      </c>
      <c r="D122" s="9" t="str">
        <f>IFERROR(VLOOKUP(B122,CLIENTS!$A$2:$E$91,3,FALSE),"Unassigned")</f>
        <v>Colombia</v>
      </c>
      <c r="E122" s="9" t="str">
        <f>IFERROR(VLOOKUP(B122,CLIENTS!$A$2:$E$91,4,FALSE),"Unassigned")</f>
        <v>E-commerce</v>
      </c>
      <c r="F122" s="10">
        <v>46152.0</v>
      </c>
      <c r="G122" s="10">
        <v>46143.0</v>
      </c>
      <c r="H122" s="9" t="s">
        <v>46</v>
      </c>
      <c r="I122" s="9" t="s">
        <v>51</v>
      </c>
      <c r="J122" s="9" t="s">
        <v>42</v>
      </c>
      <c r="K122" s="9" t="s">
        <v>55</v>
      </c>
      <c r="L122" s="11">
        <v>3427.0</v>
      </c>
      <c r="M122" s="9">
        <f>COUNTIF(ACTIVITIES!$B$2:$B$241,A122)</f>
        <v>1</v>
      </c>
      <c r="N122" s="10">
        <f>IF(M122=0,"",MAXIFS(ACTIVITIES!$C$2:$C$241,ACTIVITIES!$B$2:$B$241,A122))</f>
        <v>46163</v>
      </c>
    </row>
    <row r="123" ht="15.75" customHeight="1">
      <c r="A123" s="9" t="s">
        <v>567</v>
      </c>
      <c r="B123" s="9" t="s">
        <v>274</v>
      </c>
      <c r="C123" s="9" t="str">
        <f>IFERROR(VLOOKUP(B123,CLIENTS!$A$2:$E$91,2,FALSE),"Unassigned")</f>
        <v>Client 045</v>
      </c>
      <c r="D123" s="9" t="str">
        <f>IFERROR(VLOOKUP(B123,CLIENTS!$A$2:$E$91,3,FALSE),"Unassigned")</f>
        <v>Spain</v>
      </c>
      <c r="E123" s="9" t="str">
        <f>IFERROR(VLOOKUP(B123,CLIENTS!$A$2:$E$91,4,FALSE),"Unassigned")</f>
        <v>Professional Services</v>
      </c>
      <c r="F123" s="10">
        <v>46161.0</v>
      </c>
      <c r="G123" s="10">
        <v>46143.0</v>
      </c>
      <c r="H123" s="9" t="s">
        <v>65</v>
      </c>
      <c r="I123" s="9" t="s">
        <v>68</v>
      </c>
      <c r="J123" s="9" t="s">
        <v>50</v>
      </c>
      <c r="K123" s="9" t="s">
        <v>72</v>
      </c>
      <c r="L123" s="11">
        <v>3564.0</v>
      </c>
      <c r="M123" s="9">
        <f>COUNTIF(ACTIVITIES!$B$2:$B$241,A123)</f>
        <v>1</v>
      </c>
      <c r="N123" s="10">
        <f>IF(M123=0,"",MAXIFS(ACTIVITIES!$C$2:$C$241,ACTIVITIES!$B$2:$B$241,A123))</f>
        <v>46103</v>
      </c>
    </row>
    <row r="124" ht="15.75" customHeight="1">
      <c r="A124" s="9" t="s">
        <v>209</v>
      </c>
      <c r="B124" s="9" t="s">
        <v>280</v>
      </c>
      <c r="C124" s="9" t="str">
        <f>IFERROR(VLOOKUP(B124,CLIENTS!$A$2:$E$91,2,FALSE),"Unassigned")</f>
        <v>Client 052</v>
      </c>
      <c r="D124" s="9" t="str">
        <f>IFERROR(VLOOKUP(B124,CLIENTS!$A$2:$E$91,3,FALSE),"Unassigned")</f>
        <v>United States</v>
      </c>
      <c r="E124" s="9" t="str">
        <f>IFERROR(VLOOKUP(B124,CLIENTS!$A$2:$E$91,4,FALSE),"Unassigned")</f>
        <v>SMB</v>
      </c>
      <c r="F124" s="10">
        <v>46170.0</v>
      </c>
      <c r="G124" s="10">
        <v>46143.0</v>
      </c>
      <c r="H124" s="9" t="s">
        <v>79</v>
      </c>
      <c r="I124" s="9" t="s">
        <v>80</v>
      </c>
      <c r="J124" s="9" t="s">
        <v>59</v>
      </c>
      <c r="K124" s="9" t="s">
        <v>83</v>
      </c>
      <c r="L124" s="11">
        <v>3701.0</v>
      </c>
      <c r="M124" s="9">
        <f>COUNTIF(ACTIVITIES!$B$2:$B$241,A124)</f>
        <v>2</v>
      </c>
      <c r="N124" s="10">
        <f>IF(M124=0,"",MAXIFS(ACTIVITIES!$C$2:$C$241,ACTIVITIES!$B$2:$B$241,A124))</f>
        <v>46223</v>
      </c>
    </row>
    <row r="125" ht="15.75" customHeight="1">
      <c r="A125" s="9" t="s">
        <v>376</v>
      </c>
      <c r="B125" s="9" t="s">
        <v>286</v>
      </c>
      <c r="C125" s="9" t="str">
        <f>IFERROR(VLOOKUP(B125,CLIENTS!$A$2:$E$91,2,FALSE),"Unassigned")</f>
        <v>Client 059</v>
      </c>
      <c r="D125" s="9" t="str">
        <f>IFERROR(VLOOKUP(B125,CLIENTS!$A$2:$E$91,3,FALSE),"Unassigned")</f>
        <v>Mexico</v>
      </c>
      <c r="E125" s="9" t="str">
        <f>IFERROR(VLOOKUP(B125,CLIENTS!$A$2:$E$91,4,FALSE),"Unassigned")</f>
        <v>Hospitality</v>
      </c>
      <c r="F125" s="10">
        <v>46179.0</v>
      </c>
      <c r="G125" s="10">
        <v>46174.0</v>
      </c>
      <c r="H125" s="9" t="s">
        <v>89</v>
      </c>
      <c r="I125" s="9" t="s">
        <v>91</v>
      </c>
      <c r="J125" s="9" t="s">
        <v>71</v>
      </c>
      <c r="K125" s="9" t="s">
        <v>94</v>
      </c>
      <c r="L125" s="11">
        <v>0.0</v>
      </c>
      <c r="M125" s="9">
        <f>COUNTIF(ACTIVITIES!$B$2:$B$241,A125)</f>
        <v>2</v>
      </c>
      <c r="N125" s="10">
        <f>IF(M125=0,"",MAXIFS(ACTIVITIES!$C$2:$C$241,ACTIVITIES!$B$2:$B$241,A125))</f>
        <v>46228</v>
      </c>
    </row>
    <row r="126" ht="15.75" customHeight="1">
      <c r="A126" s="9" t="s">
        <v>492</v>
      </c>
      <c r="B126" s="9" t="s">
        <v>292</v>
      </c>
      <c r="C126" s="9" t="str">
        <f>IFERROR(VLOOKUP(B126,CLIENTS!$A$2:$E$91,2,FALSE),"Unassigned")</f>
        <v>Client 066</v>
      </c>
      <c r="D126" s="9" t="str">
        <f>IFERROR(VLOOKUP(B126,CLIENTS!$A$2:$E$91,3,FALSE),"Unassigned")</f>
        <v>El Salvador</v>
      </c>
      <c r="E126" s="9" t="str">
        <f>IFERROR(VLOOKUP(B126,CLIENTS!$A$2:$E$91,4,FALSE),"Unassigned")</f>
        <v>E-commerce</v>
      </c>
      <c r="F126" s="10">
        <v>46188.0</v>
      </c>
      <c r="G126" s="10">
        <v>46174.0</v>
      </c>
      <c r="H126" s="9" t="s">
        <v>100</v>
      </c>
      <c r="I126" s="9" t="s">
        <v>102</v>
      </c>
      <c r="J126" s="9" t="s">
        <v>42</v>
      </c>
      <c r="K126" s="9" t="s">
        <v>105</v>
      </c>
      <c r="L126" s="11">
        <v>3975.0</v>
      </c>
      <c r="M126" s="9">
        <f>COUNTIF(ACTIVITIES!$B$2:$B$241,A126)</f>
        <v>1</v>
      </c>
      <c r="N126" s="10">
        <f>IF(M126=0,"",MAXIFS(ACTIVITIES!$C$2:$C$241,ACTIVITIES!$B$2:$B$241,A126))</f>
        <v>46103</v>
      </c>
    </row>
    <row r="127" ht="15.75" customHeight="1">
      <c r="A127" s="9" t="s">
        <v>551</v>
      </c>
      <c r="C127" s="9" t="str">
        <f>IFERROR(VLOOKUP(B127,CLIENTS!$A$2:$E$91,2,FALSE),"Unassigned")</f>
        <v>Unassigned</v>
      </c>
      <c r="D127" s="9" t="str">
        <f>IFERROR(VLOOKUP(B127,CLIENTS!$A$2:$E$91,3,FALSE),"Unassigned")</f>
        <v>Unassigned</v>
      </c>
      <c r="E127" s="9" t="str">
        <f>IFERROR(VLOOKUP(B127,CLIENTS!$A$2:$E$91,4,FALSE),"Unassigned")</f>
        <v>Unassigned</v>
      </c>
      <c r="F127" s="10">
        <v>46197.0</v>
      </c>
      <c r="G127" s="10">
        <v>46174.0</v>
      </c>
      <c r="H127" s="9" t="s">
        <v>110</v>
      </c>
      <c r="I127" s="9" t="s">
        <v>51</v>
      </c>
      <c r="J127" s="9" t="s">
        <v>50</v>
      </c>
      <c r="K127" s="9" t="s">
        <v>55</v>
      </c>
      <c r="L127" s="11">
        <v>4112.0</v>
      </c>
      <c r="M127" s="9">
        <f>COUNTIF(ACTIVITIES!$B$2:$B$241,A127)</f>
        <v>1</v>
      </c>
      <c r="N127" s="10">
        <f>IF(M127=0,"",MAXIFS(ACTIVITIES!$C$2:$C$241,ACTIVITIES!$B$2:$B$241,A127))</f>
        <v>46043</v>
      </c>
    </row>
    <row r="128" ht="15.75" customHeight="1">
      <c r="A128" s="9" t="s">
        <v>161</v>
      </c>
      <c r="B128" s="9" t="s">
        <v>306</v>
      </c>
      <c r="C128" s="9" t="str">
        <f>IFERROR(VLOOKUP(B128,CLIENTS!$A$2:$E$91,2,FALSE),"Unassigned")</f>
        <v>Client 080</v>
      </c>
      <c r="D128" s="9" t="str">
        <f>IFERROR(VLOOKUP(B128,CLIENTS!$A$2:$E$91,3,FALSE),"Unassigned")</f>
        <v>Spain</v>
      </c>
      <c r="E128" s="9" t="str">
        <f>IFERROR(VLOOKUP(B128,CLIENTS!$A$2:$E$91,4,FALSE),"Unassigned")</f>
        <v>SMB</v>
      </c>
      <c r="F128" s="10">
        <v>46206.0</v>
      </c>
      <c r="G128" s="10">
        <v>46204.0</v>
      </c>
      <c r="H128" s="9" t="s">
        <v>46</v>
      </c>
      <c r="I128" s="9" t="s">
        <v>68</v>
      </c>
      <c r="J128" s="9" t="s">
        <v>59</v>
      </c>
      <c r="K128" s="9" t="s">
        <v>72</v>
      </c>
      <c r="L128" s="11">
        <v>4249.0</v>
      </c>
      <c r="M128" s="9">
        <f>COUNTIF(ACTIVITIES!$B$2:$B$241,A128)</f>
        <v>2</v>
      </c>
      <c r="N128" s="10">
        <f>IF(M128=0,"",MAXIFS(ACTIVITIES!$C$2:$C$241,ACTIVITIES!$B$2:$B$241,A128))</f>
        <v>46228</v>
      </c>
    </row>
    <row r="129" ht="15.75" customHeight="1">
      <c r="A129" s="9" t="s">
        <v>328</v>
      </c>
      <c r="B129" s="9" t="s">
        <v>311</v>
      </c>
      <c r="C129" s="9" t="str">
        <f>IFERROR(VLOOKUP(B129,CLIENTS!$A$2:$E$91,2,FALSE),"Unassigned")</f>
        <v>Client 087</v>
      </c>
      <c r="D129" s="9" t="str">
        <f>IFERROR(VLOOKUP(B129,CLIENTS!$A$2:$E$91,3,FALSE),"Unassigned")</f>
        <v>United States</v>
      </c>
      <c r="E129" s="9" t="str">
        <f>IFERROR(VLOOKUP(B129,CLIENTS!$A$2:$E$91,4,FALSE),"Unassigned")</f>
        <v>Hospitality</v>
      </c>
      <c r="F129" s="10">
        <v>46215.0</v>
      </c>
      <c r="G129" s="10">
        <v>46204.0</v>
      </c>
      <c r="H129" s="9" t="s">
        <v>65</v>
      </c>
      <c r="I129" s="9" t="s">
        <v>80</v>
      </c>
      <c r="J129" s="9" t="s">
        <v>71</v>
      </c>
      <c r="K129" s="9" t="s">
        <v>83</v>
      </c>
      <c r="L129" s="11">
        <v>4386.0</v>
      </c>
      <c r="M129" s="9">
        <f>COUNTIF(ACTIVITIES!$B$2:$B$241,A129)</f>
        <v>2</v>
      </c>
      <c r="N129" s="10">
        <f>IF(M129=0,"",MAXIFS(ACTIVITIES!$C$2:$C$241,ACTIVITIES!$B$2:$B$241,A129))</f>
        <v>46168</v>
      </c>
    </row>
    <row r="130" ht="15.75" customHeight="1">
      <c r="A130" s="9" t="s">
        <v>470</v>
      </c>
      <c r="B130" s="9" t="s">
        <v>78</v>
      </c>
      <c r="C130" s="9" t="str">
        <f>IFERROR(VLOOKUP(B130,CLIENTS!$A$2:$E$91,2,FALSE),"Unassigned")</f>
        <v>Client 004</v>
      </c>
      <c r="D130" s="9" t="str">
        <f>IFERROR(VLOOKUP(B130,CLIENTS!$A$2:$E$91,3,FALSE),"Unassigned")</f>
        <v>Mexico</v>
      </c>
      <c r="E130" s="9" t="str">
        <f>IFERROR(VLOOKUP(B130,CLIENTS!$A$2:$E$91,4,FALSE),"Unassigned")</f>
        <v>SMB</v>
      </c>
      <c r="F130" s="10">
        <v>46224.0</v>
      </c>
      <c r="G130" s="10">
        <v>46204.0</v>
      </c>
      <c r="H130" s="9" t="s">
        <v>79</v>
      </c>
      <c r="I130" s="9" t="s">
        <v>91</v>
      </c>
      <c r="J130" s="9" t="s">
        <v>42</v>
      </c>
      <c r="K130" s="9" t="s">
        <v>94</v>
      </c>
      <c r="L130" s="11">
        <v>0.0</v>
      </c>
      <c r="M130" s="9">
        <f>COUNTIF(ACTIVITIES!$B$2:$B$241,A130)</f>
        <v>1</v>
      </c>
      <c r="N130" s="10">
        <f>IF(M130=0,"",MAXIFS(ACTIVITIES!$C$2:$C$241,ACTIVITIES!$B$2:$B$241,A130))</f>
        <v>46043</v>
      </c>
    </row>
    <row r="131" ht="15.75" customHeight="1">
      <c r="A131" s="9" t="s">
        <v>533</v>
      </c>
      <c r="B131" s="9" t="s">
        <v>135</v>
      </c>
      <c r="C131" s="9" t="str">
        <f>IFERROR(VLOOKUP(B131,CLIENTS!$A$2:$E$91,2,FALSE),"Unassigned")</f>
        <v>Client 011</v>
      </c>
      <c r="D131" s="9" t="str">
        <f>IFERROR(VLOOKUP(B131,CLIENTS!$A$2:$E$91,3,FALSE),"Unassigned")</f>
        <v>El Salvador</v>
      </c>
      <c r="E131" s="9" t="str">
        <f>IFERROR(VLOOKUP(B131,CLIENTS!$A$2:$E$91,4,FALSE),"Unassigned")</f>
        <v>Hospitality</v>
      </c>
      <c r="F131" s="10">
        <v>46233.0</v>
      </c>
      <c r="G131" s="10">
        <v>46204.0</v>
      </c>
      <c r="H131" s="9" t="s">
        <v>89</v>
      </c>
      <c r="I131" s="9" t="s">
        <v>102</v>
      </c>
      <c r="J131" s="9" t="s">
        <v>50</v>
      </c>
      <c r="K131" s="9" t="s">
        <v>105</v>
      </c>
      <c r="L131" s="11">
        <v>4660.0</v>
      </c>
      <c r="M131" s="9">
        <f>COUNTIF(ACTIVITIES!$B$2:$B$241,A131)</f>
        <v>1</v>
      </c>
      <c r="N131" s="10">
        <f>IF(M131=0,"",MAXIFS(ACTIVITIES!$C$2:$C$241,ACTIVITIES!$B$2:$B$241,A131))</f>
        <v>46228</v>
      </c>
    </row>
    <row r="132" ht="15.75" customHeight="1">
      <c r="A132" s="9" t="s">
        <v>113</v>
      </c>
      <c r="B132" s="9" t="s">
        <v>184</v>
      </c>
      <c r="C132" s="9" t="str">
        <f>IFERROR(VLOOKUP(B132,CLIENTS!$A$2:$E$91,2,FALSE),"Unassigned")</f>
        <v>Client 018</v>
      </c>
      <c r="D132" s="9" t="str">
        <f>IFERROR(VLOOKUP(B132,CLIENTS!$A$2:$E$91,3,FALSE),"Unassigned")</f>
        <v>Colombia</v>
      </c>
      <c r="E132" s="9" t="str">
        <f>IFERROR(VLOOKUP(B132,CLIENTS!$A$2:$E$91,4,FALSE),"Unassigned")</f>
        <v>E-commerce</v>
      </c>
      <c r="F132" s="10">
        <v>46242.0</v>
      </c>
      <c r="G132" s="10">
        <v>46235.0</v>
      </c>
      <c r="H132" s="9" t="s">
        <v>100</v>
      </c>
      <c r="I132" s="9" t="s">
        <v>51</v>
      </c>
      <c r="J132" s="9" t="s">
        <v>59</v>
      </c>
      <c r="K132" s="9" t="s">
        <v>55</v>
      </c>
      <c r="L132" s="11">
        <v>4797.0</v>
      </c>
      <c r="M132" s="9">
        <f>COUNTIF(ACTIVITIES!$B$2:$B$241,A132)</f>
        <v>2</v>
      </c>
      <c r="N132" s="10">
        <f>IF(M132=0,"",MAXIFS(ACTIVITIES!$C$2:$C$241,ACTIVITIES!$B$2:$B$241,A132))</f>
        <v>46168</v>
      </c>
    </row>
    <row r="133" ht="15.75" customHeight="1">
      <c r="A133" s="9" t="s">
        <v>265</v>
      </c>
      <c r="C133" s="9" t="str">
        <f>IFERROR(VLOOKUP(B133,CLIENTS!$A$2:$E$91,2,FALSE),"Unassigned")</f>
        <v>Unassigned</v>
      </c>
      <c r="D133" s="9" t="str">
        <f>IFERROR(VLOOKUP(B133,CLIENTS!$A$2:$E$91,3,FALSE),"Unassigned")</f>
        <v>Unassigned</v>
      </c>
      <c r="E133" s="9" t="str">
        <f>IFERROR(VLOOKUP(B133,CLIENTS!$A$2:$E$91,4,FALSE),"Unassigned")</f>
        <v>Unassigned</v>
      </c>
      <c r="F133" s="10">
        <v>46251.0</v>
      </c>
      <c r="G133" s="10">
        <v>46235.0</v>
      </c>
      <c r="H133" s="9" t="s">
        <v>110</v>
      </c>
      <c r="I133" s="9" t="s">
        <v>68</v>
      </c>
      <c r="J133" s="9" t="s">
        <v>71</v>
      </c>
      <c r="K133" s="9" t="s">
        <v>72</v>
      </c>
      <c r="L133" s="11">
        <v>4934.0</v>
      </c>
      <c r="M133" s="9">
        <f>COUNTIF(ACTIVITIES!$B$2:$B$241,A133)</f>
        <v>2</v>
      </c>
      <c r="N133" s="10">
        <f>IF(M133=0,"",MAXIFS(ACTIVITIES!$C$2:$C$241,ACTIVITIES!$B$2:$B$241,A133))</f>
        <v>46108</v>
      </c>
    </row>
    <row r="134" ht="15.75" customHeight="1">
      <c r="A134" s="9" t="s">
        <v>427</v>
      </c>
      <c r="B134" s="9" t="s">
        <v>252</v>
      </c>
      <c r="C134" s="9" t="str">
        <f>IFERROR(VLOOKUP(B134,CLIENTS!$A$2:$E$91,2,FALSE),"Unassigned")</f>
        <v>Client 032</v>
      </c>
      <c r="D134" s="9" t="str">
        <f>IFERROR(VLOOKUP(B134,CLIENTS!$A$2:$E$91,3,FALSE),"Unassigned")</f>
        <v>United States</v>
      </c>
      <c r="E134" s="9" t="str">
        <f>IFERROR(VLOOKUP(B134,CLIENTS!$A$2:$E$91,4,FALSE),"Unassigned")</f>
        <v>SMB</v>
      </c>
      <c r="F134" s="10">
        <v>46260.0</v>
      </c>
      <c r="G134" s="10">
        <v>46235.0</v>
      </c>
      <c r="H134" s="9" t="s">
        <v>46</v>
      </c>
      <c r="I134" s="9" t="s">
        <v>80</v>
      </c>
      <c r="J134" s="9" t="s">
        <v>42</v>
      </c>
      <c r="K134" s="9" t="s">
        <v>83</v>
      </c>
      <c r="L134" s="11">
        <v>5071.0</v>
      </c>
      <c r="M134" s="9">
        <f>COUNTIF(ACTIVITIES!$B$2:$B$241,A134)</f>
        <v>1</v>
      </c>
      <c r="N134" s="10">
        <f>IF(M134=0,"",MAXIFS(ACTIVITIES!$C$2:$C$241,ACTIVITIES!$B$2:$B$241,A134))</f>
        <v>46228</v>
      </c>
    </row>
    <row r="135" ht="15.75" customHeight="1">
      <c r="A135" s="9" t="s">
        <v>514</v>
      </c>
      <c r="B135" s="9" t="s">
        <v>282</v>
      </c>
      <c r="C135" s="9" t="str">
        <f>IFERROR(VLOOKUP(B135,CLIENTS!$A$2:$E$91,2,FALSE),"Unassigned")</f>
        <v>Client 039</v>
      </c>
      <c r="D135" s="9" t="str">
        <f>IFERROR(VLOOKUP(B135,CLIENTS!$A$2:$E$91,3,FALSE),"Unassigned")</f>
        <v>Mexico</v>
      </c>
      <c r="E135" s="9" t="str">
        <f>IFERROR(VLOOKUP(B135,CLIENTS!$A$2:$E$91,4,FALSE),"Unassigned")</f>
        <v>Hospitality</v>
      </c>
      <c r="F135" s="10">
        <v>46029.0</v>
      </c>
      <c r="G135" s="10">
        <v>46023.0</v>
      </c>
      <c r="H135" s="9" t="s">
        <v>65</v>
      </c>
      <c r="I135" s="9" t="s">
        <v>91</v>
      </c>
      <c r="J135" s="9" t="s">
        <v>50</v>
      </c>
      <c r="K135" s="9" t="s">
        <v>94</v>
      </c>
      <c r="L135" s="11">
        <v>0.0</v>
      </c>
      <c r="M135" s="9">
        <f>COUNTIF(ACTIVITIES!$B$2:$B$241,A135)</f>
        <v>1</v>
      </c>
      <c r="N135" s="10">
        <f>IF(M135=0,"",MAXIFS(ACTIVITIES!$C$2:$C$241,ACTIVITIES!$B$2:$B$241,A135))</f>
        <v>46168</v>
      </c>
    </row>
    <row r="136" ht="15.75" customHeight="1">
      <c r="A136" s="9" t="s">
        <v>569</v>
      </c>
      <c r="B136" s="9" t="s">
        <v>312</v>
      </c>
      <c r="C136" s="9" t="str">
        <f>IFERROR(VLOOKUP(B136,CLIENTS!$A$2:$E$91,2,FALSE),"Unassigned")</f>
        <v>Client 046</v>
      </c>
      <c r="D136" s="9" t="str">
        <f>IFERROR(VLOOKUP(B136,CLIENTS!$A$2:$E$91,3,FALSE),"Unassigned")</f>
        <v>El Salvador</v>
      </c>
      <c r="E136" s="9" t="str">
        <f>IFERROR(VLOOKUP(B136,CLIENTS!$A$2:$E$91,4,FALSE),"Unassigned")</f>
        <v>E-commerce</v>
      </c>
      <c r="F136" s="10">
        <v>46038.0</v>
      </c>
      <c r="G136" s="10">
        <v>46023.0</v>
      </c>
      <c r="H136" s="9" t="s">
        <v>79</v>
      </c>
      <c r="I136" s="9" t="s">
        <v>102</v>
      </c>
      <c r="J136" s="9" t="s">
        <v>59</v>
      </c>
      <c r="K136" s="9" t="s">
        <v>105</v>
      </c>
      <c r="L136" s="11">
        <v>745.0</v>
      </c>
      <c r="M136" s="9">
        <f>COUNTIF(ACTIVITIES!$B$2:$B$241,A136)</f>
        <v>1</v>
      </c>
      <c r="N136" s="10">
        <f>IF(M136=0,"",MAXIFS(ACTIVITIES!$C$2:$C$241,ACTIVITIES!$B$2:$B$241,A136))</f>
        <v>46108</v>
      </c>
    </row>
    <row r="137" ht="15.75" customHeight="1">
      <c r="A137" s="9" t="s">
        <v>213</v>
      </c>
      <c r="B137" s="9" t="s">
        <v>337</v>
      </c>
      <c r="C137" s="9" t="str">
        <f>IFERROR(VLOOKUP(B137,CLIENTS!$A$2:$E$91,2,FALSE),"Unassigned")</f>
        <v>Client 053</v>
      </c>
      <c r="D137" s="9" t="str">
        <f>IFERROR(VLOOKUP(B137,CLIENTS!$A$2:$E$91,3,FALSE),"Unassigned")</f>
        <v>Colombia</v>
      </c>
      <c r="E137" s="9" t="str">
        <f>IFERROR(VLOOKUP(B137,CLIENTS!$A$2:$E$91,4,FALSE),"Unassigned")</f>
        <v>Professional Services</v>
      </c>
      <c r="F137" s="10">
        <v>46047.0</v>
      </c>
      <c r="G137" s="10">
        <v>46023.0</v>
      </c>
      <c r="H137" s="9" t="s">
        <v>89</v>
      </c>
      <c r="I137" s="9" t="s">
        <v>51</v>
      </c>
      <c r="J137" s="9" t="s">
        <v>71</v>
      </c>
      <c r="K137" s="9" t="s">
        <v>55</v>
      </c>
      <c r="L137" s="11">
        <v>882.0</v>
      </c>
      <c r="M137" s="9">
        <f>COUNTIF(ACTIVITIES!$B$2:$B$241,A137)</f>
        <v>2</v>
      </c>
      <c r="N137" s="10">
        <f>IF(M137=0,"",MAXIFS(ACTIVITIES!$C$2:$C$241,ACTIVITIES!$B$2:$B$241,A137))</f>
        <v>46228</v>
      </c>
    </row>
    <row r="138" ht="15.75" customHeight="1">
      <c r="A138" s="9" t="s">
        <v>380</v>
      </c>
      <c r="B138" s="9" t="s">
        <v>359</v>
      </c>
      <c r="C138" s="9" t="str">
        <f>IFERROR(VLOOKUP(B138,CLIENTS!$A$2:$E$91,2,FALSE),"Unassigned")</f>
        <v>Client 060</v>
      </c>
      <c r="D138" s="9" t="str">
        <f>IFERROR(VLOOKUP(B138,CLIENTS!$A$2:$E$91,3,FALSE),"Unassigned")</f>
        <v>Spain</v>
      </c>
      <c r="E138" s="9" t="str">
        <f>IFERROR(VLOOKUP(B138,CLIENTS!$A$2:$E$91,4,FALSE),"Unassigned")</f>
        <v>SMB</v>
      </c>
      <c r="F138" s="10">
        <v>46056.0</v>
      </c>
      <c r="G138" s="10">
        <v>46054.0</v>
      </c>
      <c r="H138" s="9" t="s">
        <v>100</v>
      </c>
      <c r="I138" s="9" t="s">
        <v>68</v>
      </c>
      <c r="J138" s="9" t="s">
        <v>42</v>
      </c>
      <c r="K138" s="9" t="s">
        <v>72</v>
      </c>
      <c r="L138" s="11">
        <v>1019.0</v>
      </c>
      <c r="M138" s="9">
        <f>COUNTIF(ACTIVITIES!$B$2:$B$241,A138)</f>
        <v>2</v>
      </c>
      <c r="N138" s="10">
        <f>IF(M138=0,"",MAXIFS(ACTIVITIES!$C$2:$C$241,ACTIVITIES!$B$2:$B$241,A138))</f>
        <v>46233</v>
      </c>
    </row>
    <row r="139" ht="15.75" customHeight="1">
      <c r="A139" s="9" t="s">
        <v>494</v>
      </c>
      <c r="C139" s="9" t="str">
        <f>IFERROR(VLOOKUP(B139,CLIENTS!$A$2:$E$91,2,FALSE),"Unassigned")</f>
        <v>Unassigned</v>
      </c>
      <c r="D139" s="9" t="str">
        <f>IFERROR(VLOOKUP(B139,CLIENTS!$A$2:$E$91,3,FALSE),"Unassigned")</f>
        <v>Unassigned</v>
      </c>
      <c r="E139" s="9" t="str">
        <f>IFERROR(VLOOKUP(B139,CLIENTS!$A$2:$E$91,4,FALSE),"Unassigned")</f>
        <v>Unassigned</v>
      </c>
      <c r="F139" s="10">
        <v>46065.0</v>
      </c>
      <c r="G139" s="10">
        <v>46054.0</v>
      </c>
      <c r="H139" s="9" t="s">
        <v>110</v>
      </c>
      <c r="I139" s="9" t="s">
        <v>80</v>
      </c>
      <c r="J139" s="9" t="s">
        <v>50</v>
      </c>
      <c r="K139" s="9" t="s">
        <v>83</v>
      </c>
      <c r="L139" s="11">
        <v>1156.0</v>
      </c>
      <c r="M139" s="9">
        <f>COUNTIF(ACTIVITIES!$B$2:$B$241,A139)</f>
        <v>1</v>
      </c>
      <c r="N139" s="10">
        <f>IF(M139=0,"",MAXIFS(ACTIVITIES!$C$2:$C$241,ACTIVITIES!$B$2:$B$241,A139))</f>
        <v>46108</v>
      </c>
    </row>
    <row r="140" ht="15.75" customHeight="1">
      <c r="A140" s="9" t="s">
        <v>553</v>
      </c>
      <c r="B140" s="9" t="s">
        <v>377</v>
      </c>
      <c r="C140" s="9" t="str">
        <f>IFERROR(VLOOKUP(B140,CLIENTS!$A$2:$E$91,2,FALSE),"Unassigned")</f>
        <v>Client 074</v>
      </c>
      <c r="D140" s="9" t="str">
        <f>IFERROR(VLOOKUP(B140,CLIENTS!$A$2:$E$91,3,FALSE),"Unassigned")</f>
        <v>Mexico</v>
      </c>
      <c r="E140" s="9" t="str">
        <f>IFERROR(VLOOKUP(B140,CLIENTS!$A$2:$E$91,4,FALSE),"Unassigned")</f>
        <v>E-commerce</v>
      </c>
      <c r="F140" s="10">
        <v>46074.0</v>
      </c>
      <c r="G140" s="10">
        <v>46054.0</v>
      </c>
      <c r="H140" s="9" t="s">
        <v>46</v>
      </c>
      <c r="I140" s="9" t="s">
        <v>91</v>
      </c>
      <c r="J140" s="9" t="s">
        <v>59</v>
      </c>
      <c r="K140" s="9" t="s">
        <v>94</v>
      </c>
      <c r="L140" s="11">
        <v>0.0</v>
      </c>
      <c r="M140" s="9">
        <f>COUNTIF(ACTIVITIES!$B$2:$B$241,A140)</f>
        <v>1</v>
      </c>
      <c r="N140" s="10">
        <f>IF(M140=0,"",MAXIFS(ACTIVITIES!$C$2:$C$241,ACTIVITIES!$B$2:$B$241,A140))</f>
        <v>46048</v>
      </c>
    </row>
    <row r="141" ht="15.75" customHeight="1">
      <c r="A141" s="9" t="s">
        <v>164</v>
      </c>
      <c r="B141" s="9" t="s">
        <v>384</v>
      </c>
      <c r="C141" s="9" t="str">
        <f>IFERROR(VLOOKUP(B141,CLIENTS!$A$2:$E$91,2,FALSE),"Unassigned")</f>
        <v>Client 081</v>
      </c>
      <c r="D141" s="9" t="str">
        <f>IFERROR(VLOOKUP(B141,CLIENTS!$A$2:$E$91,3,FALSE),"Unassigned")</f>
        <v>El Salvador</v>
      </c>
      <c r="E141" s="9" t="str">
        <f>IFERROR(VLOOKUP(B141,CLIENTS!$A$2:$E$91,4,FALSE),"Unassigned")</f>
        <v>Professional Services</v>
      </c>
      <c r="F141" s="10">
        <v>46083.0</v>
      </c>
      <c r="G141" s="10">
        <v>46082.0</v>
      </c>
      <c r="H141" s="9" t="s">
        <v>65</v>
      </c>
      <c r="I141" s="9" t="s">
        <v>102</v>
      </c>
      <c r="J141" s="9" t="s">
        <v>71</v>
      </c>
      <c r="K141" s="9" t="s">
        <v>105</v>
      </c>
      <c r="L141" s="11">
        <v>1430.0</v>
      </c>
      <c r="M141" s="9">
        <f>COUNTIF(ACTIVITIES!$B$2:$B$241,A141)</f>
        <v>2</v>
      </c>
      <c r="N141" s="10">
        <f>IF(M141=0,"",MAXIFS(ACTIVITIES!$C$2:$C$241,ACTIVITIES!$B$2:$B$241,A141))</f>
        <v>46233</v>
      </c>
    </row>
    <row r="142" ht="15.75" customHeight="1">
      <c r="A142" s="9" t="s">
        <v>331</v>
      </c>
      <c r="B142" s="9" t="s">
        <v>391</v>
      </c>
      <c r="C142" s="9" t="str">
        <f>IFERROR(VLOOKUP(B142,CLIENTS!$A$2:$E$91,2,FALSE),"Unassigned")</f>
        <v>Client 088</v>
      </c>
      <c r="D142" s="9" t="str">
        <f>IFERROR(VLOOKUP(B142,CLIENTS!$A$2:$E$91,3,FALSE),"Unassigned")</f>
        <v>Colombia</v>
      </c>
      <c r="E142" s="9" t="str">
        <f>IFERROR(VLOOKUP(B142,CLIENTS!$A$2:$E$91,4,FALSE),"Unassigned")</f>
        <v>SMB</v>
      </c>
      <c r="F142" s="10">
        <v>46092.0</v>
      </c>
      <c r="G142" s="10">
        <v>46082.0</v>
      </c>
      <c r="H142" s="9" t="s">
        <v>79</v>
      </c>
      <c r="I142" s="9" t="s">
        <v>51</v>
      </c>
      <c r="J142" s="9" t="s">
        <v>42</v>
      </c>
      <c r="K142" s="9" t="s">
        <v>55</v>
      </c>
      <c r="L142" s="11">
        <v>1567.0</v>
      </c>
      <c r="M142" s="9">
        <f>COUNTIF(ACTIVITIES!$B$2:$B$241,A142)</f>
        <v>2</v>
      </c>
      <c r="N142" s="10">
        <f>IF(M142=0,"",MAXIFS(ACTIVITIES!$C$2:$C$241,ACTIVITIES!$B$2:$B$241,A142))</f>
        <v>46173</v>
      </c>
    </row>
    <row r="143" ht="15.75" customHeight="1">
      <c r="A143" s="9" t="s">
        <v>473</v>
      </c>
      <c r="B143" s="9" t="s">
        <v>90</v>
      </c>
      <c r="C143" s="9" t="str">
        <f>IFERROR(VLOOKUP(B143,CLIENTS!$A$2:$E$91,2,FALSE),"Unassigned")</f>
        <v>Client 005</v>
      </c>
      <c r="D143" s="9" t="str">
        <f>IFERROR(VLOOKUP(B143,CLIENTS!$A$2:$E$91,3,FALSE),"Unassigned")</f>
        <v>Spain</v>
      </c>
      <c r="E143" s="9" t="str">
        <f>IFERROR(VLOOKUP(B143,CLIENTS!$A$2:$E$91,4,FALSE),"Unassigned")</f>
        <v>Professional Services</v>
      </c>
      <c r="F143" s="10">
        <v>46101.0</v>
      </c>
      <c r="G143" s="10">
        <v>46082.0</v>
      </c>
      <c r="H143" s="9" t="s">
        <v>89</v>
      </c>
      <c r="I143" s="9" t="s">
        <v>68</v>
      </c>
      <c r="J143" s="9" t="s">
        <v>50</v>
      </c>
      <c r="K143" s="9" t="s">
        <v>72</v>
      </c>
      <c r="L143" s="11">
        <v>1704.0</v>
      </c>
      <c r="M143" s="9">
        <f>COUNTIF(ACTIVITIES!$B$2:$B$241,A143)</f>
        <v>1</v>
      </c>
      <c r="N143" s="10">
        <f>IF(M143=0,"",MAXIFS(ACTIVITIES!$C$2:$C$241,ACTIVITIES!$B$2:$B$241,A143))</f>
        <v>46048</v>
      </c>
    </row>
    <row r="144" ht="15.75" customHeight="1">
      <c r="A144" s="9" t="s">
        <v>535</v>
      </c>
      <c r="B144" s="9" t="s">
        <v>141</v>
      </c>
      <c r="C144" s="9" t="str">
        <f>IFERROR(VLOOKUP(B144,CLIENTS!$A$2:$E$91,2,FALSE),"Unassigned")</f>
        <v>Client 012</v>
      </c>
      <c r="D144" s="9" t="str">
        <f>IFERROR(VLOOKUP(B144,CLIENTS!$A$2:$E$91,3,FALSE),"Unassigned")</f>
        <v>United States</v>
      </c>
      <c r="E144" s="9" t="str">
        <f>IFERROR(VLOOKUP(B144,CLIENTS!$A$2:$E$91,4,FALSE),"Unassigned")</f>
        <v>SMB</v>
      </c>
      <c r="F144" s="10">
        <v>46110.0</v>
      </c>
      <c r="G144" s="10">
        <v>46082.0</v>
      </c>
      <c r="H144" s="9" t="s">
        <v>100</v>
      </c>
      <c r="I144" s="9" t="s">
        <v>80</v>
      </c>
      <c r="J144" s="9" t="s">
        <v>59</v>
      </c>
      <c r="K144" s="9" t="s">
        <v>83</v>
      </c>
      <c r="L144" s="11">
        <v>1841.0</v>
      </c>
      <c r="M144" s="9">
        <f>COUNTIF(ACTIVITIES!$B$2:$B$241,A144)</f>
        <v>1</v>
      </c>
      <c r="N144" s="10">
        <f>IF(M144=0,"",MAXIFS(ACTIVITIES!$C$2:$C$241,ACTIVITIES!$B$2:$B$241,A144))</f>
        <v>46233</v>
      </c>
    </row>
    <row r="145" ht="15.75" customHeight="1">
      <c r="A145" s="9" t="s">
        <v>117</v>
      </c>
      <c r="C145" s="9" t="str">
        <f>IFERROR(VLOOKUP(B145,CLIENTS!$A$2:$E$91,2,FALSE),"Unassigned")</f>
        <v>Unassigned</v>
      </c>
      <c r="D145" s="9" t="str">
        <f>IFERROR(VLOOKUP(B145,CLIENTS!$A$2:$E$91,3,FALSE),"Unassigned")</f>
        <v>Unassigned</v>
      </c>
      <c r="E145" s="9" t="str">
        <f>IFERROR(VLOOKUP(B145,CLIENTS!$A$2:$E$91,4,FALSE),"Unassigned")</f>
        <v>Unassigned</v>
      </c>
      <c r="F145" s="10">
        <v>46119.0</v>
      </c>
      <c r="G145" s="10">
        <v>46113.0</v>
      </c>
      <c r="H145" s="9" t="s">
        <v>110</v>
      </c>
      <c r="I145" s="9" t="s">
        <v>91</v>
      </c>
      <c r="J145" s="9" t="s">
        <v>71</v>
      </c>
      <c r="K145" s="9" t="s">
        <v>94</v>
      </c>
      <c r="L145" s="11">
        <v>0.0</v>
      </c>
      <c r="M145" s="9">
        <f>COUNTIF(ACTIVITIES!$B$2:$B$241,A145)</f>
        <v>2</v>
      </c>
      <c r="N145" s="10">
        <f>IF(M145=0,"",MAXIFS(ACTIVITIES!$C$2:$C$241,ACTIVITIES!$B$2:$B$241,A145))</f>
        <v>46173</v>
      </c>
    </row>
    <row r="146" ht="15.75" customHeight="1">
      <c r="A146" s="9" t="s">
        <v>271</v>
      </c>
      <c r="B146" s="9" t="s">
        <v>226</v>
      </c>
      <c r="C146" s="9" t="str">
        <f>IFERROR(VLOOKUP(B146,CLIENTS!$A$2:$E$91,2,FALSE),"Unassigned")</f>
        <v>Client 026</v>
      </c>
      <c r="D146" s="9" t="str">
        <f>IFERROR(VLOOKUP(B146,CLIENTS!$A$2:$E$91,3,FALSE),"Unassigned")</f>
        <v>El Salvador</v>
      </c>
      <c r="E146" s="9" t="str">
        <f>IFERROR(VLOOKUP(B146,CLIENTS!$A$2:$E$91,4,FALSE),"Unassigned")</f>
        <v>E-commerce</v>
      </c>
      <c r="F146" s="10">
        <v>46128.0</v>
      </c>
      <c r="G146" s="10">
        <v>46113.0</v>
      </c>
      <c r="H146" s="9" t="s">
        <v>46</v>
      </c>
      <c r="I146" s="9" t="s">
        <v>102</v>
      </c>
      <c r="J146" s="9" t="s">
        <v>42</v>
      </c>
      <c r="K146" s="9" t="s">
        <v>105</v>
      </c>
      <c r="L146" s="11">
        <v>2115.0</v>
      </c>
      <c r="M146" s="9">
        <f>COUNTIF(ACTIVITIES!$B$2:$B$241,A146)</f>
        <v>2</v>
      </c>
      <c r="N146" s="10">
        <f>IF(M146=0,"",MAXIFS(ACTIVITIES!$C$2:$C$241,ACTIVITIES!$B$2:$B$241,A146))</f>
        <v>46113</v>
      </c>
    </row>
    <row r="147" ht="15.75" customHeight="1">
      <c r="A147" s="9" t="s">
        <v>430</v>
      </c>
      <c r="B147" s="9" t="s">
        <v>256</v>
      </c>
      <c r="C147" s="9" t="str">
        <f>IFERROR(VLOOKUP(B147,CLIENTS!$A$2:$E$91,2,FALSE),"Unassigned")</f>
        <v>Client 033</v>
      </c>
      <c r="D147" s="9" t="str">
        <f>IFERROR(VLOOKUP(B147,CLIENTS!$A$2:$E$91,3,FALSE),"Unassigned")</f>
        <v>Colombia</v>
      </c>
      <c r="E147" s="9" t="str">
        <f>IFERROR(VLOOKUP(B147,CLIENTS!$A$2:$E$91,4,FALSE),"Unassigned")</f>
        <v>Professional Services</v>
      </c>
      <c r="F147" s="10">
        <v>46137.0</v>
      </c>
      <c r="G147" s="10">
        <v>46113.0</v>
      </c>
      <c r="H147" s="9" t="s">
        <v>65</v>
      </c>
      <c r="I147" s="9" t="s">
        <v>51</v>
      </c>
      <c r="J147" s="9" t="s">
        <v>50</v>
      </c>
      <c r="K147" s="9" t="s">
        <v>55</v>
      </c>
      <c r="L147" s="11">
        <v>2252.0</v>
      </c>
      <c r="M147" s="9">
        <f>COUNTIF(ACTIVITIES!$B$2:$B$241,A147)</f>
        <v>1</v>
      </c>
      <c r="N147" s="10">
        <f>IF(M147=0,"",MAXIFS(ACTIVITIES!$C$2:$C$241,ACTIVITIES!$B$2:$B$241,A147))</f>
        <v>46233</v>
      </c>
    </row>
    <row r="148" ht="15.75" customHeight="1">
      <c r="A148" s="9" t="s">
        <v>516</v>
      </c>
      <c r="B148" s="9" t="s">
        <v>287</v>
      </c>
      <c r="C148" s="9" t="str">
        <f>IFERROR(VLOOKUP(B148,CLIENTS!$A$2:$E$91,2,FALSE),"Unassigned")</f>
        <v>Client 040</v>
      </c>
      <c r="D148" s="9" t="str">
        <f>IFERROR(VLOOKUP(B148,CLIENTS!$A$2:$E$91,3,FALSE),"Unassigned")</f>
        <v>Spain</v>
      </c>
      <c r="E148" s="9" t="str">
        <f>IFERROR(VLOOKUP(B148,CLIENTS!$A$2:$E$91,4,FALSE),"Unassigned")</f>
        <v>SMB</v>
      </c>
      <c r="F148" s="10">
        <v>46146.0</v>
      </c>
      <c r="G148" s="10">
        <v>46143.0</v>
      </c>
      <c r="H148" s="9" t="s">
        <v>79</v>
      </c>
      <c r="I148" s="9" t="s">
        <v>68</v>
      </c>
      <c r="J148" s="9" t="s">
        <v>59</v>
      </c>
      <c r="K148" s="9" t="s">
        <v>72</v>
      </c>
      <c r="L148" s="11">
        <v>2389.0</v>
      </c>
      <c r="M148" s="9">
        <f>COUNTIF(ACTIVITIES!$B$2:$B$241,A148)</f>
        <v>1</v>
      </c>
      <c r="N148" s="10">
        <f>IF(M148=0,"",MAXIFS(ACTIVITIES!$C$2:$C$241,ACTIVITIES!$B$2:$B$241,A148))</f>
        <v>46173</v>
      </c>
    </row>
    <row r="149" ht="15.75" customHeight="1">
      <c r="A149" s="9" t="s">
        <v>571</v>
      </c>
      <c r="B149" s="9" t="s">
        <v>317</v>
      </c>
      <c r="C149" s="9" t="str">
        <f>IFERROR(VLOOKUP(B149,CLIENTS!$A$2:$E$91,2,FALSE),"Unassigned")</f>
        <v>Client 047</v>
      </c>
      <c r="D149" s="9" t="str">
        <f>IFERROR(VLOOKUP(B149,CLIENTS!$A$2:$E$91,3,FALSE),"Unassigned")</f>
        <v>United States</v>
      </c>
      <c r="E149" s="9" t="str">
        <f>IFERROR(VLOOKUP(B149,CLIENTS!$A$2:$E$91,4,FALSE),"Unassigned")</f>
        <v>Hospitality</v>
      </c>
      <c r="F149" s="10">
        <v>46155.0</v>
      </c>
      <c r="G149" s="10">
        <v>46143.0</v>
      </c>
      <c r="H149" s="9" t="s">
        <v>89</v>
      </c>
      <c r="I149" s="9" t="s">
        <v>80</v>
      </c>
      <c r="J149" s="9" t="s">
        <v>71</v>
      </c>
      <c r="K149" s="9" t="s">
        <v>83</v>
      </c>
      <c r="L149" s="11">
        <v>2526.0</v>
      </c>
      <c r="M149" s="9">
        <f>COUNTIF(ACTIVITIES!$B$2:$B$241,A149)</f>
        <v>1</v>
      </c>
      <c r="N149" s="10">
        <f>IF(M149=0,"",MAXIFS(ACTIVITIES!$C$2:$C$241,ACTIVITIES!$B$2:$B$241,A149))</f>
        <v>46113</v>
      </c>
    </row>
    <row r="150" ht="15.75" customHeight="1">
      <c r="A150" s="9" t="s">
        <v>216</v>
      </c>
      <c r="B150" s="9" t="s">
        <v>341</v>
      </c>
      <c r="C150" s="9" t="str">
        <f>IFERROR(VLOOKUP(B150,CLIENTS!$A$2:$E$91,2,FALSE),"Unassigned")</f>
        <v>Client 054</v>
      </c>
      <c r="D150" s="9" t="str">
        <f>IFERROR(VLOOKUP(B150,CLIENTS!$A$2:$E$91,3,FALSE),"Unassigned")</f>
        <v>Mexico</v>
      </c>
      <c r="E150" s="9" t="str">
        <f>IFERROR(VLOOKUP(B150,CLIENTS!$A$2:$E$91,4,FALSE),"Unassigned")</f>
        <v>E-commerce</v>
      </c>
      <c r="F150" s="10">
        <v>46164.0</v>
      </c>
      <c r="G150" s="10">
        <v>46143.0</v>
      </c>
      <c r="H150" s="9" t="s">
        <v>100</v>
      </c>
      <c r="I150" s="9" t="s">
        <v>91</v>
      </c>
      <c r="J150" s="9" t="s">
        <v>42</v>
      </c>
      <c r="K150" s="9" t="s">
        <v>94</v>
      </c>
      <c r="L150" s="11">
        <v>0.0</v>
      </c>
      <c r="M150" s="9">
        <f>COUNTIF(ACTIVITIES!$B$2:$B$241,A150)</f>
        <v>2</v>
      </c>
      <c r="N150" s="10">
        <f>IF(M150=0,"",MAXIFS(ACTIVITIES!$C$2:$C$241,ACTIVITIES!$B$2:$B$241,A150))</f>
        <v>46233</v>
      </c>
    </row>
    <row r="151" ht="15.75" customHeight="1">
      <c r="A151" s="9" t="s">
        <v>383</v>
      </c>
      <c r="C151" s="9" t="str">
        <f>IFERROR(VLOOKUP(B151,CLIENTS!$A$2:$E$91,2,FALSE),"Unassigned")</f>
        <v>Unassigned</v>
      </c>
      <c r="D151" s="9" t="str">
        <f>IFERROR(VLOOKUP(B151,CLIENTS!$A$2:$E$91,3,FALSE),"Unassigned")</f>
        <v>Unassigned</v>
      </c>
      <c r="E151" s="9" t="str">
        <f>IFERROR(VLOOKUP(B151,CLIENTS!$A$2:$E$91,4,FALSE),"Unassigned")</f>
        <v>Unassigned</v>
      </c>
      <c r="F151" s="10">
        <v>46173.0</v>
      </c>
      <c r="G151" s="10">
        <v>46143.0</v>
      </c>
      <c r="H151" s="9" t="s">
        <v>110</v>
      </c>
      <c r="I151" s="9" t="s">
        <v>102</v>
      </c>
      <c r="J151" s="9" t="s">
        <v>50</v>
      </c>
      <c r="K151" s="9" t="s">
        <v>105</v>
      </c>
      <c r="L151" s="11">
        <v>2800.0</v>
      </c>
      <c r="M151" s="9">
        <f>COUNTIF(ACTIVITIES!$B$2:$B$241,A151)</f>
        <v>2</v>
      </c>
      <c r="N151" s="10">
        <f>IF(M151=0,"",MAXIFS(ACTIVITIES!$C$2:$C$241,ACTIVITIES!$B$2:$B$241,A151))</f>
        <v>46238</v>
      </c>
    </row>
    <row r="152" ht="15.75" customHeight="1">
      <c r="A152" s="9" t="s">
        <v>496</v>
      </c>
      <c r="B152" s="9" t="s">
        <v>389</v>
      </c>
      <c r="C152" s="9" t="str">
        <f>IFERROR(VLOOKUP(B152,CLIENTS!$A$2:$E$91,2,FALSE),"Unassigned")</f>
        <v>Client 068</v>
      </c>
      <c r="D152" s="9" t="str">
        <f>IFERROR(VLOOKUP(B152,CLIENTS!$A$2:$E$91,3,FALSE),"Unassigned")</f>
        <v>Colombia</v>
      </c>
      <c r="E152" s="9" t="str">
        <f>IFERROR(VLOOKUP(B152,CLIENTS!$A$2:$E$91,4,FALSE),"Unassigned")</f>
        <v>SMB</v>
      </c>
      <c r="F152" s="10">
        <v>46182.0</v>
      </c>
      <c r="G152" s="10">
        <v>46174.0</v>
      </c>
      <c r="H152" s="9" t="s">
        <v>46</v>
      </c>
      <c r="I152" s="9" t="s">
        <v>51</v>
      </c>
      <c r="J152" s="9" t="s">
        <v>59</v>
      </c>
      <c r="K152" s="9" t="s">
        <v>55</v>
      </c>
      <c r="L152" s="11">
        <v>2937.0</v>
      </c>
      <c r="M152" s="9">
        <f>COUNTIF(ACTIVITIES!$B$2:$B$241,A152)</f>
        <v>1</v>
      </c>
      <c r="N152" s="10">
        <f>IF(M152=0,"",MAXIFS(ACTIVITIES!$C$2:$C$241,ACTIVITIES!$B$2:$B$241,A152))</f>
        <v>46113</v>
      </c>
    </row>
    <row r="153" ht="15.75" customHeight="1">
      <c r="A153" s="9" t="s">
        <v>555</v>
      </c>
      <c r="B153" s="9" t="s">
        <v>416</v>
      </c>
      <c r="C153" s="9" t="str">
        <f>IFERROR(VLOOKUP(B153,CLIENTS!$A$2:$E$91,2,FALSE),"Unassigned")</f>
        <v>Client 075</v>
      </c>
      <c r="D153" s="9" t="str">
        <f>IFERROR(VLOOKUP(B153,CLIENTS!$A$2:$E$91,3,FALSE),"Unassigned")</f>
        <v>Spain</v>
      </c>
      <c r="E153" s="9" t="str">
        <f>IFERROR(VLOOKUP(B153,CLIENTS!$A$2:$E$91,4,FALSE),"Unassigned")</f>
        <v>Hospitality</v>
      </c>
      <c r="F153" s="10">
        <v>46191.0</v>
      </c>
      <c r="G153" s="10">
        <v>46174.0</v>
      </c>
      <c r="H153" s="9" t="s">
        <v>65</v>
      </c>
      <c r="I153" s="9" t="s">
        <v>68</v>
      </c>
      <c r="J153" s="9" t="s">
        <v>71</v>
      </c>
      <c r="K153" s="9" t="s">
        <v>72</v>
      </c>
      <c r="L153" s="11">
        <v>3074.0</v>
      </c>
      <c r="M153" s="9">
        <f>COUNTIF(ACTIVITIES!$B$2:$B$241,A153)</f>
        <v>1</v>
      </c>
      <c r="N153" s="10">
        <f>IF(M153=0,"",MAXIFS(ACTIVITIES!$C$2:$C$241,ACTIVITIES!$B$2:$B$241,A153))</f>
        <v>46053</v>
      </c>
    </row>
    <row r="154" ht="15.75" customHeight="1">
      <c r="A154" s="9" t="s">
        <v>170</v>
      </c>
      <c r="B154" s="9" t="s">
        <v>441</v>
      </c>
      <c r="C154" s="9" t="str">
        <f>IFERROR(VLOOKUP(B154,CLIENTS!$A$2:$E$91,2,FALSE),"Unassigned")</f>
        <v>Client 082</v>
      </c>
      <c r="D154" s="9" t="str">
        <f>IFERROR(VLOOKUP(B154,CLIENTS!$A$2:$E$91,3,FALSE),"Unassigned")</f>
        <v>United States</v>
      </c>
      <c r="E154" s="9" t="str">
        <f>IFERROR(VLOOKUP(B154,CLIENTS!$A$2:$E$91,4,FALSE),"Unassigned")</f>
        <v>E-commerce</v>
      </c>
      <c r="F154" s="10">
        <v>46200.0</v>
      </c>
      <c r="G154" s="10">
        <v>46174.0</v>
      </c>
      <c r="H154" s="9" t="s">
        <v>79</v>
      </c>
      <c r="I154" s="9" t="s">
        <v>80</v>
      </c>
      <c r="J154" s="9" t="s">
        <v>42</v>
      </c>
      <c r="K154" s="9" t="s">
        <v>83</v>
      </c>
      <c r="L154" s="11">
        <v>3211.0</v>
      </c>
      <c r="M154" s="9">
        <f>COUNTIF(ACTIVITIES!$B$2:$B$241,A154)</f>
        <v>2</v>
      </c>
      <c r="N154" s="10">
        <f>IF(M154=0,"",MAXIFS(ACTIVITIES!$C$2:$C$241,ACTIVITIES!$B$2:$B$241,A154))</f>
        <v>46238</v>
      </c>
    </row>
    <row r="155" ht="15.75" customHeight="1">
      <c r="A155" s="9" t="s">
        <v>334</v>
      </c>
      <c r="B155" s="9" t="s">
        <v>450</v>
      </c>
      <c r="C155" s="9" t="str">
        <f>IFERROR(VLOOKUP(B155,CLIENTS!$A$2:$E$91,2,FALSE),"Unassigned")</f>
        <v>Client 089</v>
      </c>
      <c r="D155" s="9" t="str">
        <f>IFERROR(VLOOKUP(B155,CLIENTS!$A$2:$E$91,3,FALSE),"Unassigned")</f>
        <v>Mexico</v>
      </c>
      <c r="E155" s="9" t="str">
        <f>IFERROR(VLOOKUP(B155,CLIENTS!$A$2:$E$91,4,FALSE),"Unassigned")</f>
        <v>Professional Services</v>
      </c>
      <c r="F155" s="10">
        <v>46209.0</v>
      </c>
      <c r="G155" s="10">
        <v>46204.0</v>
      </c>
      <c r="H155" s="9" t="s">
        <v>89</v>
      </c>
      <c r="I155" s="9" t="s">
        <v>91</v>
      </c>
      <c r="J155" s="9" t="s">
        <v>50</v>
      </c>
      <c r="K155" s="9" t="s">
        <v>94</v>
      </c>
      <c r="L155" s="11">
        <v>0.0</v>
      </c>
      <c r="M155" s="9">
        <f>COUNTIF(ACTIVITIES!$B$2:$B$241,A155)</f>
        <v>2</v>
      </c>
      <c r="N155" s="10">
        <f>IF(M155=0,"",MAXIFS(ACTIVITIES!$C$2:$C$241,ACTIVITIES!$B$2:$B$241,A155))</f>
        <v>46178</v>
      </c>
    </row>
    <row r="156" ht="15.75" customHeight="1">
      <c r="A156" s="9" t="s">
        <v>476</v>
      </c>
      <c r="B156" s="9" t="s">
        <v>103</v>
      </c>
      <c r="C156" s="9" t="str">
        <f>IFERROR(VLOOKUP(B156,CLIENTS!$A$2:$E$91,2,FALSE),"Unassigned")</f>
        <v>Client 006</v>
      </c>
      <c r="D156" s="9" t="str">
        <f>IFERROR(VLOOKUP(B156,CLIENTS!$A$2:$E$91,3,FALSE),"Unassigned")</f>
        <v>El Salvador</v>
      </c>
      <c r="E156" s="9" t="str">
        <f>IFERROR(VLOOKUP(B156,CLIENTS!$A$2:$E$91,4,FALSE),"Unassigned")</f>
        <v>E-commerce</v>
      </c>
      <c r="F156" s="10">
        <v>46218.0</v>
      </c>
      <c r="G156" s="10">
        <v>46204.0</v>
      </c>
      <c r="H156" s="9" t="s">
        <v>100</v>
      </c>
      <c r="I156" s="9" t="s">
        <v>102</v>
      </c>
      <c r="J156" s="9" t="s">
        <v>59</v>
      </c>
      <c r="K156" s="9" t="s">
        <v>105</v>
      </c>
      <c r="L156" s="11">
        <v>3485.0</v>
      </c>
      <c r="M156" s="9">
        <f>COUNTIF(ACTIVITIES!$B$2:$B$241,A156)</f>
        <v>1</v>
      </c>
      <c r="N156" s="10">
        <f>IF(M156=0,"",MAXIFS(ACTIVITIES!$C$2:$C$241,ACTIVITIES!$B$2:$B$241,A156))</f>
        <v>46053</v>
      </c>
    </row>
    <row r="157" ht="15.75" customHeight="1">
      <c r="A157" s="9" t="s">
        <v>537</v>
      </c>
      <c r="C157" s="9" t="str">
        <f>IFERROR(VLOOKUP(B157,CLIENTS!$A$2:$E$91,2,FALSE),"Unassigned")</f>
        <v>Unassigned</v>
      </c>
      <c r="D157" s="9" t="str">
        <f>IFERROR(VLOOKUP(B157,CLIENTS!$A$2:$E$91,3,FALSE),"Unassigned")</f>
        <v>Unassigned</v>
      </c>
      <c r="E157" s="9" t="str">
        <f>IFERROR(VLOOKUP(B157,CLIENTS!$A$2:$E$91,4,FALSE),"Unassigned")</f>
        <v>Unassigned</v>
      </c>
      <c r="F157" s="10">
        <v>46227.0</v>
      </c>
      <c r="G157" s="10">
        <v>46204.0</v>
      </c>
      <c r="H157" s="9" t="s">
        <v>110</v>
      </c>
      <c r="I157" s="9" t="s">
        <v>51</v>
      </c>
      <c r="J157" s="9" t="s">
        <v>71</v>
      </c>
      <c r="K157" s="9" t="s">
        <v>55</v>
      </c>
      <c r="L157" s="11">
        <v>3622.0</v>
      </c>
      <c r="M157" s="9">
        <f>COUNTIF(ACTIVITIES!$B$2:$B$241,A157)</f>
        <v>1</v>
      </c>
      <c r="N157" s="10">
        <f>IF(M157=0,"",MAXIFS(ACTIVITIES!$C$2:$C$241,ACTIVITIES!$B$2:$B$241,A157))</f>
        <v>46238</v>
      </c>
    </row>
    <row r="158" ht="15.75" customHeight="1">
      <c r="A158" s="9" t="s">
        <v>120</v>
      </c>
      <c r="B158" s="9" t="s">
        <v>194</v>
      </c>
      <c r="C158" s="9" t="str">
        <f>IFERROR(VLOOKUP(B158,CLIENTS!$A$2:$E$91,2,FALSE),"Unassigned")</f>
        <v>Client 020</v>
      </c>
      <c r="D158" s="9" t="str">
        <f>IFERROR(VLOOKUP(B158,CLIENTS!$A$2:$E$91,3,FALSE),"Unassigned")</f>
        <v>Spain</v>
      </c>
      <c r="E158" s="9" t="str">
        <f>IFERROR(VLOOKUP(B158,CLIENTS!$A$2:$E$91,4,FALSE),"Unassigned")</f>
        <v>SMB</v>
      </c>
      <c r="F158" s="10">
        <v>46236.0</v>
      </c>
      <c r="G158" s="10">
        <v>46235.0</v>
      </c>
      <c r="H158" s="9" t="s">
        <v>46</v>
      </c>
      <c r="I158" s="9" t="s">
        <v>68</v>
      </c>
      <c r="J158" s="9" t="s">
        <v>42</v>
      </c>
      <c r="K158" s="9" t="s">
        <v>72</v>
      </c>
      <c r="L158" s="11">
        <v>3759.0</v>
      </c>
      <c r="M158" s="9">
        <f>COUNTIF(ACTIVITIES!$B$2:$B$241,A158)</f>
        <v>2</v>
      </c>
      <c r="N158" s="10">
        <f>IF(M158=0,"",MAXIFS(ACTIVITIES!$C$2:$C$241,ACTIVITIES!$B$2:$B$241,A158))</f>
        <v>46178</v>
      </c>
    </row>
    <row r="159" ht="15.75" customHeight="1">
      <c r="A159" s="9" t="s">
        <v>275</v>
      </c>
      <c r="B159" s="9" t="s">
        <v>231</v>
      </c>
      <c r="C159" s="9" t="str">
        <f>IFERROR(VLOOKUP(B159,CLIENTS!$A$2:$E$91,2,FALSE),"Unassigned")</f>
        <v>Client 027</v>
      </c>
      <c r="D159" s="9" t="str">
        <f>IFERROR(VLOOKUP(B159,CLIENTS!$A$2:$E$91,3,FALSE),"Unassigned")</f>
        <v>United States</v>
      </c>
      <c r="E159" s="9" t="str">
        <f>IFERROR(VLOOKUP(B159,CLIENTS!$A$2:$E$91,4,FALSE),"Unassigned")</f>
        <v>Hospitality</v>
      </c>
      <c r="F159" s="10">
        <v>46245.0</v>
      </c>
      <c r="G159" s="10">
        <v>46235.0</v>
      </c>
      <c r="H159" s="9" t="s">
        <v>65</v>
      </c>
      <c r="I159" s="9" t="s">
        <v>80</v>
      </c>
      <c r="J159" s="9" t="s">
        <v>50</v>
      </c>
      <c r="K159" s="9" t="s">
        <v>83</v>
      </c>
      <c r="L159" s="11">
        <v>3896.0</v>
      </c>
      <c r="M159" s="9">
        <f>COUNTIF(ACTIVITIES!$B$2:$B$241,A159)</f>
        <v>2</v>
      </c>
      <c r="N159" s="10">
        <f>IF(M159=0,"",MAXIFS(ACTIVITIES!$C$2:$C$241,ACTIVITIES!$B$2:$B$241,A159))</f>
        <v>46118</v>
      </c>
    </row>
    <row r="160" ht="15.75" customHeight="1">
      <c r="A160" s="9" t="s">
        <v>435</v>
      </c>
      <c r="B160" s="9" t="s">
        <v>261</v>
      </c>
      <c r="C160" s="9" t="str">
        <f>IFERROR(VLOOKUP(B160,CLIENTS!$A$2:$E$91,2,FALSE),"Unassigned")</f>
        <v>Client 034</v>
      </c>
      <c r="D160" s="9" t="str">
        <f>IFERROR(VLOOKUP(B160,CLIENTS!$A$2:$E$91,3,FALSE),"Unassigned")</f>
        <v>Mexico</v>
      </c>
      <c r="E160" s="9" t="str">
        <f>IFERROR(VLOOKUP(B160,CLIENTS!$A$2:$E$91,4,FALSE),"Unassigned")</f>
        <v>E-commerce</v>
      </c>
      <c r="F160" s="10">
        <v>46254.0</v>
      </c>
      <c r="G160" s="10">
        <v>46235.0</v>
      </c>
      <c r="H160" s="9" t="s">
        <v>79</v>
      </c>
      <c r="I160" s="9" t="s">
        <v>91</v>
      </c>
      <c r="J160" s="9" t="s">
        <v>59</v>
      </c>
      <c r="K160" s="9" t="s">
        <v>94</v>
      </c>
      <c r="L160" s="11">
        <v>0.0</v>
      </c>
      <c r="M160" s="9">
        <f>COUNTIF(ACTIVITIES!$B$2:$B$241,A160)</f>
        <v>1</v>
      </c>
      <c r="N160" s="10">
        <f>IF(M160=0,"",MAXIFS(ACTIVITIES!$C$2:$C$241,ACTIVITIES!$B$2:$B$241,A160))</f>
        <v>46238</v>
      </c>
    </row>
    <row r="161" ht="15.75" customHeight="1">
      <c r="A161" s="9" t="s">
        <v>518</v>
      </c>
      <c r="B161" s="9" t="s">
        <v>293</v>
      </c>
      <c r="C161" s="9" t="str">
        <f>IFERROR(VLOOKUP(B161,CLIENTS!$A$2:$E$91,2,FALSE),"Unassigned")</f>
        <v>Client 041</v>
      </c>
      <c r="D161" s="9" t="str">
        <f>IFERROR(VLOOKUP(B161,CLIENTS!$A$2:$E$91,3,FALSE),"Unassigned")</f>
        <v>El Salvador</v>
      </c>
      <c r="E161" s="9" t="str">
        <f>IFERROR(VLOOKUP(B161,CLIENTS!$A$2:$E$91,4,FALSE),"Unassigned")</f>
        <v>Professional Services</v>
      </c>
      <c r="F161" s="10">
        <v>46023.0</v>
      </c>
      <c r="G161" s="10">
        <v>46023.0</v>
      </c>
      <c r="H161" s="9" t="s">
        <v>89</v>
      </c>
      <c r="I161" s="9" t="s">
        <v>102</v>
      </c>
      <c r="J161" s="9" t="s">
        <v>71</v>
      </c>
      <c r="K161" s="9" t="s">
        <v>105</v>
      </c>
      <c r="L161" s="11">
        <v>4170.0</v>
      </c>
      <c r="M161" s="9">
        <f>COUNTIF(ACTIVITIES!$B$2:$B$241,A161)</f>
        <v>1</v>
      </c>
      <c r="N161" s="10">
        <f>IF(M161=0,"",MAXIFS(ACTIVITIES!$C$2:$C$241,ACTIVITIES!$B$2:$B$241,A161))</f>
        <v>46178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3" width="16.0"/>
    <col customWidth="1" min="4" max="4" width="20.0"/>
    <col customWidth="1" min="5" max="6" width="16.0"/>
    <col customWidth="1" min="7" max="7" width="24.0"/>
    <col customWidth="1" min="8" max="9" width="16.0"/>
    <col customWidth="1" min="10" max="26" width="8.63"/>
  </cols>
  <sheetData>
    <row r="1">
      <c r="A1" s="1" t="s">
        <v>575</v>
      </c>
    </row>
    <row r="2">
      <c r="A2" s="12" t="s">
        <v>577</v>
      </c>
    </row>
    <row r="4">
      <c r="A4" s="13" t="s">
        <v>578</v>
      </c>
      <c r="C4" s="13" t="s">
        <v>579</v>
      </c>
      <c r="E4" s="13" t="s">
        <v>581</v>
      </c>
      <c r="G4" s="13" t="s">
        <v>582</v>
      </c>
      <c r="I4" s="13" t="s">
        <v>583</v>
      </c>
    </row>
    <row r="5">
      <c r="A5" s="14">
        <f>COUNTA(MASTER_DATA!A2:A161)</f>
        <v>160</v>
      </c>
      <c r="C5" s="15">
        <f>SUM(MASTER_DATA!L2:L161)</f>
        <v>368064</v>
      </c>
      <c r="E5" s="14">
        <f>COUNTIF(MASTER_DATA!K2:K161,"Won")</f>
        <v>32</v>
      </c>
      <c r="G5" s="16">
        <f>COUNTIF(MASTER_DATA!K2:K161,"Won")/COUNTA(MASTER_DATA!A2:A161)</f>
        <v>0.2</v>
      </c>
      <c r="I5" s="14">
        <f>COUNTA(ACTIVITIES!A2:A241)</f>
        <v>240</v>
      </c>
    </row>
    <row r="8">
      <c r="A8" s="17" t="s">
        <v>589</v>
      </c>
      <c r="B8" s="17" t="s">
        <v>590</v>
      </c>
      <c r="D8" s="17" t="s">
        <v>591</v>
      </c>
      <c r="E8" s="17" t="s">
        <v>590</v>
      </c>
      <c r="G8" s="17" t="s">
        <v>592</v>
      </c>
      <c r="H8" s="17" t="s">
        <v>593</v>
      </c>
    </row>
    <row r="9">
      <c r="A9" s="18" t="s">
        <v>105</v>
      </c>
      <c r="B9" s="18">
        <f>COUNTIF(MASTER_DATA!$K$2:$K$161,A9)</f>
        <v>32</v>
      </c>
      <c r="D9" s="18" t="s">
        <v>65</v>
      </c>
      <c r="E9" s="18">
        <f>COUNTIF(MASTER_DATA!$H$2:$H$161,D9)</f>
        <v>27</v>
      </c>
      <c r="G9" s="18" t="s">
        <v>80</v>
      </c>
      <c r="H9" s="19">
        <f>SUMIF(MASTER_DATA!$I$2:$I$161,G9,MASTER_DATA!$L$2:$L$161)</f>
        <v>93112</v>
      </c>
    </row>
    <row r="10">
      <c r="A10" s="18" t="s">
        <v>55</v>
      </c>
      <c r="B10" s="18">
        <f>COUNTIF(MASTER_DATA!$K$2:$K$161,A10)</f>
        <v>32</v>
      </c>
      <c r="D10" s="18" t="s">
        <v>46</v>
      </c>
      <c r="E10" s="18">
        <f>COUNTIF(MASTER_DATA!$H$2:$H$161,D10)</f>
        <v>27</v>
      </c>
      <c r="G10" s="18" t="s">
        <v>102</v>
      </c>
      <c r="H10" s="19">
        <f>SUMIF(MASTER_DATA!$I$2:$I$161,G10,MASTER_DATA!$L$2:$L$161)</f>
        <v>92680</v>
      </c>
    </row>
    <row r="11">
      <c r="A11" s="18" t="s">
        <v>72</v>
      </c>
      <c r="B11" s="18">
        <f>COUNTIF(MASTER_DATA!$K$2:$K$161,A11)</f>
        <v>32</v>
      </c>
      <c r="D11" s="18" t="s">
        <v>110</v>
      </c>
      <c r="E11" s="18">
        <f>COUNTIF(MASTER_DATA!$H$2:$H$161,D11)</f>
        <v>26</v>
      </c>
      <c r="G11" s="18" t="s">
        <v>68</v>
      </c>
      <c r="H11" s="19">
        <f>SUMIF(MASTER_DATA!$I$2:$I$161,G11,MASTER_DATA!$L$2:$L$161)</f>
        <v>93328</v>
      </c>
    </row>
    <row r="12">
      <c r="A12" s="18" t="s">
        <v>83</v>
      </c>
      <c r="B12" s="18">
        <f>COUNTIF(MASTER_DATA!$K$2:$K$161,A12)</f>
        <v>32</v>
      </c>
      <c r="D12" s="18" t="s">
        <v>100</v>
      </c>
      <c r="E12" s="18">
        <f>COUNTIF(MASTER_DATA!$H$2:$H$161,D12)</f>
        <v>26</v>
      </c>
      <c r="G12" s="18" t="s">
        <v>91</v>
      </c>
      <c r="H12" s="19">
        <f>SUMIF(MASTER_DATA!$I$2:$I$161,G12,MASTER_DATA!$L$2:$L$161)</f>
        <v>0</v>
      </c>
    </row>
    <row r="13">
      <c r="A13" s="18" t="s">
        <v>94</v>
      </c>
      <c r="B13" s="18">
        <f>COUNTIF(MASTER_DATA!$K$2:$K$161,A13)</f>
        <v>32</v>
      </c>
      <c r="D13" s="18" t="s">
        <v>89</v>
      </c>
      <c r="E13" s="18">
        <f>COUNTIF(MASTER_DATA!$H$2:$H$161,D13)</f>
        <v>27</v>
      </c>
      <c r="G13" s="18" t="s">
        <v>51</v>
      </c>
      <c r="H13" s="19">
        <f>SUMIF(MASTER_DATA!$I$2:$I$161,G13,MASTER_DATA!$L$2:$L$161)</f>
        <v>88944</v>
      </c>
    </row>
    <row r="14">
      <c r="D14" s="18" t="s">
        <v>79</v>
      </c>
      <c r="E14" s="18">
        <f>COUNTIF(MASTER_DATA!$H$2:$H$161,D14)</f>
        <v>27</v>
      </c>
    </row>
    <row r="17">
      <c r="A17" s="17" t="s">
        <v>29</v>
      </c>
      <c r="B17" s="17" t="s">
        <v>593</v>
      </c>
      <c r="C17" s="17" t="s">
        <v>602</v>
      </c>
    </row>
    <row r="18">
      <c r="A18" s="18" t="s">
        <v>71</v>
      </c>
      <c r="B18" s="19">
        <f>SUMIF(MASTER_DATA!$J$2:$J$161,A18,MASTER_DATA!$L$2:$L$161)</f>
        <v>94656</v>
      </c>
      <c r="C18" s="19">
        <f>SUMIF(TARGETS!$B$2:$B$33,A18,TARGETS!$C$2:$C$33)</f>
        <v>127600</v>
      </c>
    </row>
    <row r="19">
      <c r="A19" s="18" t="s">
        <v>59</v>
      </c>
      <c r="B19" s="19">
        <f>SUMIF(MASTER_DATA!$J$2:$J$161,A19,MASTER_DATA!$L$2:$L$161)</f>
        <v>91136</v>
      </c>
      <c r="C19" s="19">
        <f>SUMIF(TARGETS!$B$2:$B$33,A19,TARGETS!$C$2:$C$33)</f>
        <v>124600</v>
      </c>
    </row>
    <row r="20">
      <c r="A20" s="18" t="s">
        <v>50</v>
      </c>
      <c r="B20" s="19">
        <f>SUMIF(MASTER_DATA!$J$2:$J$161,A20,MASTER_DATA!$L$2:$L$161)</f>
        <v>91136</v>
      </c>
      <c r="C20" s="19">
        <f>SUMIF(TARGETS!$B$2:$B$33,A20,TARGETS!$C$2:$C$33)</f>
        <v>127600</v>
      </c>
    </row>
    <row r="21" ht="15.75" customHeight="1">
      <c r="A21" s="18" t="s">
        <v>42</v>
      </c>
      <c r="B21" s="19">
        <f>SUMIF(MASTER_DATA!$J$2:$J$161,A21,MASTER_DATA!$L$2:$L$161)</f>
        <v>91136</v>
      </c>
      <c r="C21" s="19">
        <f>SUMIF(TARGETS!$B$2:$B$33,A21,TARGETS!$C$2:$C$33)</f>
        <v>123600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90.0"/>
    <col customWidth="1" min="3" max="26" width="8.63"/>
  </cols>
  <sheetData>
    <row r="1">
      <c r="A1" s="1" t="s">
        <v>633</v>
      </c>
    </row>
    <row r="3">
      <c r="A3" s="2" t="s">
        <v>634</v>
      </c>
      <c r="B3" s="3" t="s">
        <v>635</v>
      </c>
    </row>
    <row r="4">
      <c r="A4" s="2" t="s">
        <v>636</v>
      </c>
      <c r="B4" s="3" t="s">
        <v>637</v>
      </c>
    </row>
    <row r="5">
      <c r="A5" s="2" t="s">
        <v>638</v>
      </c>
      <c r="B5" s="3" t="s">
        <v>639</v>
      </c>
    </row>
    <row r="6">
      <c r="A6" s="2" t="s">
        <v>640</v>
      </c>
      <c r="B6" s="3" t="s">
        <v>641</v>
      </c>
    </row>
    <row r="7">
      <c r="A7" s="2" t="s">
        <v>642</v>
      </c>
      <c r="B7" s="3" t="s">
        <v>643</v>
      </c>
    </row>
    <row r="8">
      <c r="A8" s="2" t="s">
        <v>644</v>
      </c>
      <c r="B8" s="3" t="s">
        <v>646</v>
      </c>
    </row>
    <row r="9">
      <c r="A9" s="2" t="s">
        <v>647</v>
      </c>
      <c r="B9" s="3" t="s">
        <v>648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