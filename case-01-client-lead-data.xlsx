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_DATA" sheetId="1" r:id="rId5"/>
    <sheet state="visible" name="CLEAN_DATA" sheetId="2" r:id="rId6"/>
    <sheet state="visible" name="FINAL_DATA" sheetId="3" r:id="rId7"/>
    <sheet state="visible" name="REPORT" sheetId="4" r:id="rId8"/>
    <sheet state="visible" name="README" sheetId="5" r:id="rId9"/>
    <sheet state="visible" name="DATA_QUALITY" sheetId="6" r:id="rId10"/>
    <sheet state="visible" name="Datos_Originales" sheetId="7" r:id="rId11"/>
    <sheet state="visible" name="DATOS_LIMPIOS" sheetId="8" r:id="rId12"/>
    <sheet state="visible" name="DATOS_FINALES" sheetId="9" r:id="rId13"/>
    <sheet state="visible" name="CALIDAD_DE_DATOS" sheetId="10" r:id="rId14"/>
    <sheet state="visible" name="REPORTE" sheetId="11" r:id="rId15"/>
    <sheet state="visible" name="LEEME" sheetId="12" r:id="rId16"/>
  </sheets>
  <definedNames>
    <definedName hidden="1" localSheetId="1" name="_xlnm._FilterDatabase">CLEAN_DATA!$Q$1:$Q$1000</definedName>
  </definedNames>
  <calcPr/>
</workbook>
</file>

<file path=xl/sharedStrings.xml><?xml version="1.0" encoding="utf-8"?>
<sst xmlns="http://schemas.openxmlformats.org/spreadsheetml/2006/main" count="11755" uniqueCount="1115">
  <si>
    <t>Record_ID</t>
  </si>
  <si>
    <t>Full_Name</t>
  </si>
  <si>
    <t>Email</t>
  </si>
  <si>
    <t>Email_Normalized</t>
  </si>
  <si>
    <t>Email_Action</t>
  </si>
  <si>
    <t>Email_Clean</t>
  </si>
  <si>
    <t>Duplicate_Status</t>
  </si>
  <si>
    <t>Data_Action</t>
  </si>
  <si>
    <t>Email_Quality</t>
  </si>
  <si>
    <t>Phone</t>
  </si>
  <si>
    <t>Company</t>
  </si>
  <si>
    <t>Country</t>
  </si>
  <si>
    <t>Country_Normalized</t>
  </si>
  <si>
    <t>Lead_Source</t>
  </si>
  <si>
    <t>Service_Interest</t>
  </si>
  <si>
    <t>Lead_Status</t>
  </si>
  <si>
    <t>Lead_Status_Normalized</t>
  </si>
  <si>
    <t>Estimated_Value_USD</t>
  </si>
  <si>
    <t>Created_Date</t>
  </si>
  <si>
    <t>Last_Contact_Date</t>
  </si>
  <si>
    <t>Notes</t>
  </si>
  <si>
    <t>ALM-0001</t>
  </si>
  <si>
    <t>Alejandro Navarro</t>
  </si>
  <si>
    <t>alejandro.navarro94@company.com</t>
  </si>
  <si>
    <t>201539268</t>
  </si>
  <si>
    <t>Apex Studio</t>
  </si>
  <si>
    <t>CHILE</t>
  </si>
  <si>
    <t>Organic Search</t>
  </si>
  <si>
    <t>Document Processing</t>
  </si>
  <si>
    <t>Contacted</t>
  </si>
  <si>
    <t>Follow up next week</t>
  </si>
  <si>
    <t>Duplicados por email</t>
  </si>
  <si>
    <t xml:space="preserve"> </t>
  </si>
  <si>
    <t>ALM-0072</t>
  </si>
  <si>
    <t>Camila González</t>
  </si>
  <si>
    <t>camila.gonzalez86@mail.com</t>
  </si>
  <si>
    <t>+56-124965231</t>
  </si>
  <si>
    <t>Digital Labs</t>
  </si>
  <si>
    <t>Chile</t>
  </si>
  <si>
    <t>Instagram</t>
  </si>
  <si>
    <t>Workflow Automation</t>
  </si>
  <si>
    <t>Requested demo</t>
  </si>
  <si>
    <t>ALM-0003</t>
  </si>
  <si>
    <t>Carlos Navarro</t>
  </si>
  <si>
    <t>carlos.navarro11@mail.com</t>
  </si>
  <si>
    <t>+503 23813586</t>
  </si>
  <si>
    <t>Momentum Services</t>
  </si>
  <si>
    <t>El Salvador</t>
  </si>
  <si>
    <t>Referral</t>
  </si>
  <si>
    <t>AI Voice Agent</t>
  </si>
  <si>
    <t>New</t>
  </si>
  <si>
    <t>ALM-0004</t>
  </si>
  <si>
    <t>María González</t>
  </si>
  <si>
    <t>maria.gonzalez3@outlook.com</t>
  </si>
  <si>
    <t>+54 8433709892</t>
  </si>
  <si>
    <t>Sol Partners</t>
  </si>
  <si>
    <t>ARGENTINA</t>
  </si>
  <si>
    <t>Website</t>
  </si>
  <si>
    <t>Lost</t>
  </si>
  <si>
    <t>ALM-0005</t>
  </si>
  <si>
    <t>Carolina Navarro</t>
  </si>
  <si>
    <t>carolina.navarro41@gmail.com</t>
  </si>
  <si>
    <t>+51 696 199 746</t>
  </si>
  <si>
    <t xml:space="preserve"> Bright Partners</t>
  </si>
  <si>
    <t>peru</t>
  </si>
  <si>
    <t>Won</t>
  </si>
  <si>
    <t>Interested in automation</t>
  </si>
  <si>
    <t>Registros marcados Duplicate</t>
  </si>
  <si>
    <t>ALM-0191</t>
  </si>
  <si>
    <t>REMOVE — Exact duplicate of ALM-0014</t>
  </si>
  <si>
    <t>ALM-0007</t>
  </si>
  <si>
    <t>María Rivera</t>
  </si>
  <si>
    <t>maria.rivera61@outlook.com</t>
  </si>
  <si>
    <t>+1 2474157676</t>
  </si>
  <si>
    <t>CLOUD SOLUTIONS</t>
  </si>
  <si>
    <t>U.S.A.</t>
  </si>
  <si>
    <t>Data Automation</t>
  </si>
  <si>
    <t>Proposal Sent</t>
  </si>
  <si>
    <t>Emails duplicados distintos</t>
  </si>
  <si>
    <t>ALM-0014</t>
  </si>
  <si>
    <t>Camila Torres</t>
  </si>
  <si>
    <t>camila.torres47@company.com</t>
  </si>
  <si>
    <t>spain</t>
  </si>
  <si>
    <t>ALM-0009</t>
  </si>
  <si>
    <t>Miguel Rodríguez</t>
  </si>
  <si>
    <t>miguel.rodriguez72@outlook.com</t>
  </si>
  <si>
    <t>+503 70533950</t>
  </si>
  <si>
    <t>Nova Commerce</t>
  </si>
  <si>
    <t>el salvador</t>
  </si>
  <si>
    <t>Registros para eliminar</t>
  </si>
  <si>
    <t>ALM-0010</t>
  </si>
  <si>
    <t>Manuel López</t>
  </si>
  <si>
    <t>manuel.lopez9@outlook.com</t>
  </si>
  <si>
    <t>2859040010</t>
  </si>
  <si>
    <t>Momentum Studio</t>
  </si>
  <si>
    <t>Needs pricing</t>
  </si>
  <si>
    <t>ALM-0011</t>
  </si>
  <si>
    <t>Patricia Pérez</t>
  </si>
  <si>
    <t>patricia.perez5@outlook.com</t>
  </si>
  <si>
    <t>+34-105504239</t>
  </si>
  <si>
    <t>Nexo Group</t>
  </si>
  <si>
    <t>ALM-0012</t>
  </si>
  <si>
    <t xml:space="preserve">  Andrés Martínez  </t>
  </si>
  <si>
    <t>andres.martinez22@mail.com</t>
  </si>
  <si>
    <t>+54-2437252546</t>
  </si>
  <si>
    <t>Apex Services</t>
  </si>
  <si>
    <t>LinkedIn</t>
  </si>
  <si>
    <t>Send proposal</t>
  </si>
  <si>
    <t>ALM-0013</t>
  </si>
  <si>
    <t>natalia ortiz</t>
  </si>
  <si>
    <t>natalia.ortiz66@gmail.com</t>
  </si>
  <si>
    <t>+54-2332522808</t>
  </si>
  <si>
    <t>Sol Solutions</t>
  </si>
  <si>
    <t>ALM-0200</t>
  </si>
  <si>
    <t xml:space="preserve"> Camila Torres </t>
  </si>
  <si>
    <t>ALM-0015</t>
  </si>
  <si>
    <t xml:space="preserve">  Sergio Ortiz  </t>
  </si>
  <si>
    <t>sergio.ortiz49@company.com</t>
  </si>
  <si>
    <t>+1-8301135501</t>
  </si>
  <si>
    <t>Vision Partners</t>
  </si>
  <si>
    <t>United States</t>
  </si>
  <si>
    <t>ALM-0016</t>
  </si>
  <si>
    <t>Javier Díaz</t>
  </si>
  <si>
    <t>javier.diaz69@gmail.com</t>
  </si>
  <si>
    <t>425439667</t>
  </si>
  <si>
    <t>Nova Partners</t>
  </si>
  <si>
    <t>PERU</t>
  </si>
  <si>
    <t>ALM-0017</t>
  </si>
  <si>
    <t>Javier Martínez</t>
  </si>
  <si>
    <t>javier.martinez59@mail.com</t>
  </si>
  <si>
    <t>2133177044</t>
  </si>
  <si>
    <t>Apex Solutions</t>
  </si>
  <si>
    <t>Argentina</t>
  </si>
  <si>
    <t>Facebook</t>
  </si>
  <si>
    <t>Qualified</t>
  </si>
  <si>
    <t>ALM-0018</t>
  </si>
  <si>
    <t>Isabel Gómez</t>
  </si>
  <si>
    <t>isabel.gomez32@mail.com</t>
  </si>
  <si>
    <t>825136069</t>
  </si>
  <si>
    <t>Apex Consulting</t>
  </si>
  <si>
    <t>Perú</t>
  </si>
  <si>
    <t>ALM-0019</t>
  </si>
  <si>
    <t>Luis Rodríguez</t>
  </si>
  <si>
    <t>luis.rodriguez98@gmail.com</t>
  </si>
  <si>
    <t>+51 380 353 771</t>
  </si>
  <si>
    <t>Atlas Consulting</t>
  </si>
  <si>
    <t>ALM-0020</t>
  </si>
  <si>
    <t>Natalia Díaz</t>
  </si>
  <si>
    <t>natalia.diaz38@mail.com</t>
  </si>
  <si>
    <t>+503 574 493 38</t>
  </si>
  <si>
    <t xml:space="preserve"> Prime Group</t>
  </si>
  <si>
    <t>EL SALVADOR</t>
  </si>
  <si>
    <t>ALM-0021</t>
  </si>
  <si>
    <t>Daniel Flores</t>
  </si>
  <si>
    <t>daniel.flores94@outlook.com</t>
  </si>
  <si>
    <t>61320024</t>
  </si>
  <si>
    <t>Urban Commerce</t>
  </si>
  <si>
    <t>ALM-0060</t>
  </si>
  <si>
    <t>Carlos Pérez</t>
  </si>
  <si>
    <t>carlos.perez33@gmail.com</t>
  </si>
  <si>
    <t>+1-3771357664</t>
  </si>
  <si>
    <t>Bright Works</t>
  </si>
  <si>
    <t>united states</t>
  </si>
  <si>
    <t>ALM-0023</t>
  </si>
  <si>
    <t>Raúl Hernández</t>
  </si>
  <si>
    <t>raul.hernandez69@company.com</t>
  </si>
  <si>
    <t>1239353409</t>
  </si>
  <si>
    <t>Vertex Solutions</t>
  </si>
  <si>
    <t>argentina</t>
  </si>
  <si>
    <t>ALM-0024</t>
  </si>
  <si>
    <t>Sergio Hernández</t>
  </si>
  <si>
    <t>sergio.hernandez12@outlook.com</t>
  </si>
  <si>
    <t>+57 299 254 3784</t>
  </si>
  <si>
    <t>Sol Commerce</t>
  </si>
  <si>
    <t>colombia</t>
  </si>
  <si>
    <t>Peru</t>
  </si>
  <si>
    <t>ALM-0025</t>
  </si>
  <si>
    <t>Paula Díaz</t>
  </si>
  <si>
    <t>paula.diaz76@mail.com</t>
  </si>
  <si>
    <t>MOMENTUM SERVICES</t>
  </si>
  <si>
    <t>ALM-0026</t>
  </si>
  <si>
    <t>Diego García</t>
  </si>
  <si>
    <t>diego.garcia78@gmail.com</t>
  </si>
  <si>
    <t>2309827434</t>
  </si>
  <si>
    <t>Vision Services</t>
  </si>
  <si>
    <t>ALM-0027</t>
  </si>
  <si>
    <t>Daniel Pérez</t>
  </si>
  <si>
    <t>daniel.perez13 @ gmail.com</t>
  </si>
  <si>
    <t>AUTO-FIX — Remove internal spaces</t>
  </si>
  <si>
    <t>daniel.perez13@gmail.com</t>
  </si>
  <si>
    <t>Bright Solutions</t>
  </si>
  <si>
    <t>ALM-0028</t>
  </si>
  <si>
    <t>Fernando Morales</t>
  </si>
  <si>
    <t>fernando.morales39@company.com</t>
  </si>
  <si>
    <t>+54 5898158879</t>
  </si>
  <si>
    <t>Prime Labs</t>
  </si>
  <si>
    <t>ALM-0029</t>
  </si>
  <si>
    <t>Alejandro Torres</t>
  </si>
  <si>
    <t>alejandro.torres56@company.com</t>
  </si>
  <si>
    <t>+52 0203959259</t>
  </si>
  <si>
    <t>Cloud Commerce</t>
  </si>
  <si>
    <t>Mexico</t>
  </si>
  <si>
    <t>ALM-0030</t>
  </si>
  <si>
    <t>Alejandro Ramírez</t>
  </si>
  <si>
    <t>alejandro.ramirez44@company.com</t>
  </si>
  <si>
    <t>chile</t>
  </si>
  <si>
    <t>ALM-0031</t>
  </si>
  <si>
    <t>Raúl Rodríguez</t>
  </si>
  <si>
    <t>raul.rodriguez57@gmail.com</t>
  </si>
  <si>
    <t>+52-8554682838</t>
  </si>
  <si>
    <t>Blue Studio</t>
  </si>
  <si>
    <t>México</t>
  </si>
  <si>
    <t>ALM-0032</t>
  </si>
  <si>
    <t>Diego Navarro</t>
  </si>
  <si>
    <t>diego.navarro64@mail.com</t>
  </si>
  <si>
    <t>Blue Services</t>
  </si>
  <si>
    <t>Salvador</t>
  </si>
  <si>
    <t>Website Chat Agent</t>
  </si>
  <si>
    <t>ALM-0033</t>
  </si>
  <si>
    <t>Andrés Sánchez</t>
  </si>
  <si>
    <t>Spain</t>
  </si>
  <si>
    <t>andres.sanchez74@outlook.com</t>
  </si>
  <si>
    <t>+1-4772755215</t>
  </si>
  <si>
    <t>Urban Works</t>
  </si>
  <si>
    <t>ALM-0034</t>
  </si>
  <si>
    <t>Manuel Morales</t>
  </si>
  <si>
    <t>manuel.morales27@gmail.com</t>
  </si>
  <si>
    <t>881839487</t>
  </si>
  <si>
    <t>Sol Labs</t>
  </si>
  <si>
    <t>ALM-0035</t>
  </si>
  <si>
    <t>Alejandro Sánchez</t>
  </si>
  <si>
    <t>alejandro.sanchez42@mail.com</t>
  </si>
  <si>
    <t>+57 406 830 4098</t>
  </si>
  <si>
    <t>ALM-0036</t>
  </si>
  <si>
    <t>Patricia Díaz</t>
  </si>
  <si>
    <t>patricia.diaz43@company.com</t>
  </si>
  <si>
    <t>+503 323 170 50</t>
  </si>
  <si>
    <t>Vertex Labs</t>
  </si>
  <si>
    <t>ALM-0037</t>
  </si>
  <si>
    <t>David Torres</t>
  </si>
  <si>
    <t>david.torres10@company.com</t>
  </si>
  <si>
    <t>+56 625 147 716</t>
  </si>
  <si>
    <t>Bright Commerce</t>
  </si>
  <si>
    <t>ALM-0038</t>
  </si>
  <si>
    <t>Fernando Romero</t>
  </si>
  <si>
    <t>fernando.romero63@gmail.com</t>
  </si>
  <si>
    <t>5161885601</t>
  </si>
  <si>
    <t>Apex Labs</t>
  </si>
  <si>
    <t>COLOMBIA</t>
  </si>
  <si>
    <t>ALM-0039</t>
  </si>
  <si>
    <t>Fernando Rivera</t>
  </si>
  <si>
    <t>fernando.rivera80@company.com</t>
  </si>
  <si>
    <t>+57 1778362014</t>
  </si>
  <si>
    <t>ALM-0002</t>
  </si>
  <si>
    <t>ALM-0040</t>
  </si>
  <si>
    <t>Isabel Ortiz</t>
  </si>
  <si>
    <t>isabel.ortiz36@mail.com</t>
  </si>
  <si>
    <t>Valeria Rivera</t>
  </si>
  <si>
    <t>+51 652057098</t>
  </si>
  <si>
    <t>Momentum Works</t>
  </si>
  <si>
    <t>valeria.rivera98@outlook.com</t>
  </si>
  <si>
    <t>ALM-0041</t>
  </si>
  <si>
    <t>Lucía Sánchez</t>
  </si>
  <si>
    <t>lucia.sanchez5 @ outlook.com</t>
  </si>
  <si>
    <t>lucia.sanchez5@outlook.com</t>
  </si>
  <si>
    <t>+503 311 113 05</t>
  </si>
  <si>
    <t>Cloud Labs</t>
  </si>
  <si>
    <t>ALM-0042</t>
  </si>
  <si>
    <t>Carolina Flores</t>
  </si>
  <si>
    <t>carolina.flores80@mail.com</t>
  </si>
  <si>
    <t>+1-3605265298</t>
  </si>
  <si>
    <t>+1-5585000486</t>
  </si>
  <si>
    <t>Green Studio</t>
  </si>
  <si>
    <t>ALM-0043</t>
  </si>
  <si>
    <t>Sofía Morales</t>
  </si>
  <si>
    <t>sofia.morales41@gmail.com</t>
  </si>
  <si>
    <t>+56-143908964</t>
  </si>
  <si>
    <t>Prime Media</t>
  </si>
  <si>
    <t>ALM-0044</t>
  </si>
  <si>
    <t>María Ortiz</t>
  </si>
  <si>
    <t>maria.ortiz54@outlook.com</t>
  </si>
  <si>
    <t>+57 270 603 6025</t>
  </si>
  <si>
    <t>Blue Media</t>
  </si>
  <si>
    <t>Colombia</t>
  </si>
  <si>
    <t>ALM-0045</t>
  </si>
  <si>
    <t>natalia sánchez</t>
  </si>
  <si>
    <t>natalia.sanchez62@company.com</t>
  </si>
  <si>
    <t>+57 999 972 1801</t>
  </si>
  <si>
    <t>Green Services</t>
  </si>
  <si>
    <t>ALM-0046</t>
  </si>
  <si>
    <t>Camila Díaz</t>
  </si>
  <si>
    <t>camila.diaz36@mail.com</t>
  </si>
  <si>
    <t>+57-5080060809</t>
  </si>
  <si>
    <t>Nexo Services</t>
  </si>
  <si>
    <t>ALM-0047</t>
  </si>
  <si>
    <t>Sofía Vargas</t>
  </si>
  <si>
    <t>sofia.vargas36@mail.com</t>
  </si>
  <si>
    <t>Client &amp; Lead Data Report</t>
  </si>
  <si>
    <t>Portfolio Sample — Synthetic Client &amp; Lead Data Report</t>
  </si>
  <si>
    <t>ALM-0048</t>
  </si>
  <si>
    <t>Luis Flores</t>
  </si>
  <si>
    <t>luis.flores7@company.com</t>
  </si>
  <si>
    <t>Total Clean Records</t>
  </si>
  <si>
    <t>Momentum Solutions</t>
  </si>
  <si>
    <t xml:space="preserve">qualified </t>
  </si>
  <si>
    <t>ALM-0192</t>
  </si>
  <si>
    <t xml:space="preserve"> Carlos Pérez </t>
  </si>
  <si>
    <t>CARLOS.PEREZ33@GMAIL.COM</t>
  </si>
  <si>
    <t>ALM-0050</t>
  </si>
  <si>
    <t>Lucía García</t>
  </si>
  <si>
    <t>lucia.garcia2@outlook.com</t>
  </si>
  <si>
    <t>+56-890013966</t>
  </si>
  <si>
    <t>Data Quality Summary</t>
  </si>
  <si>
    <t>Total Estimated Value</t>
  </si>
  <si>
    <t>ALM-0051</t>
  </si>
  <si>
    <t>María Sánchez</t>
  </si>
  <si>
    <t>maria.sanchez18@outlook.com</t>
  </si>
  <si>
    <t>+34 778 887 740</t>
  </si>
  <si>
    <t>Nexo Solutions</t>
  </si>
  <si>
    <t>ALM-0052</t>
  </si>
  <si>
    <t>Patricia Rodríguez</t>
  </si>
  <si>
    <t>Original Records</t>
  </si>
  <si>
    <t>patricia.rodriguez52@outlook.com</t>
  </si>
  <si>
    <t>8211396692</t>
  </si>
  <si>
    <t>Average Estimated Value</t>
  </si>
  <si>
    <t>Vertex Services</t>
  </si>
  <si>
    <t>ALM-0053</t>
  </si>
  <si>
    <t>Natalia Rodríguez</t>
  </si>
  <si>
    <t>natalia.rodriguez44@mail.com</t>
  </si>
  <si>
    <t>Duplicates Removed</t>
  </si>
  <si>
    <t>Records Missing Estimated Value</t>
  </si>
  <si>
    <t>+51 544 209 389</t>
  </si>
  <si>
    <t>Digital Media</t>
  </si>
  <si>
    <t>Final Clean Records</t>
  </si>
  <si>
    <t>Records Missing Lead Status</t>
  </si>
  <si>
    <t>ALM-0054</t>
  </si>
  <si>
    <t>María Rodríguez</t>
  </si>
  <si>
    <t>maria.rodriguez23@gmail.com</t>
  </si>
  <si>
    <t>7847790960</t>
  </si>
  <si>
    <t>Cloud Media</t>
  </si>
  <si>
    <t>Duplicate Removal Rate</t>
  </si>
  <si>
    <t>ALM-0055</t>
  </si>
  <si>
    <t>Ricardo Morales</t>
  </si>
  <si>
    <t>ricardo.morales60@mail.com</t>
  </si>
  <si>
    <t>Emails Auto-Fixed</t>
  </si>
  <si>
    <t>Emails Requiring Review</t>
  </si>
  <si>
    <t>+503 295 606 49</t>
  </si>
  <si>
    <t>Nova Studio</t>
  </si>
  <si>
    <t>Missing Emails in Final Dataset</t>
  </si>
  <si>
    <t>ALM-0056</t>
  </si>
  <si>
    <t>JAVIER.MARTINEZ58@MAIL.COM</t>
  </si>
  <si>
    <t>Lead Status</t>
  </si>
  <si>
    <t>Record Count</t>
  </si>
  <si>
    <t>Lead Source</t>
  </si>
  <si>
    <t>Service Interest</t>
  </si>
  <si>
    <t>+54 3292373787</t>
  </si>
  <si>
    <t>ALM-0057</t>
  </si>
  <si>
    <t>Patricia Castro</t>
  </si>
  <si>
    <t>patricia.castro89@mail.com</t>
  </si>
  <si>
    <t>+52-0552303571</t>
  </si>
  <si>
    <t>Bright Services</t>
  </si>
  <si>
    <t>MEXICO</t>
  </si>
  <si>
    <t>new</t>
  </si>
  <si>
    <t>ALM-0058</t>
  </si>
  <si>
    <t>Andrés Morales</t>
  </si>
  <si>
    <t>andres.morales46@company.com</t>
  </si>
  <si>
    <t>+57-4585022660</t>
  </si>
  <si>
    <t>Atlas Labs</t>
  </si>
  <si>
    <t>ALM-0059</t>
  </si>
  <si>
    <t>Fernando Díaz</t>
  </si>
  <si>
    <t>fernando.diaz13@mail.com</t>
  </si>
  <si>
    <t>8183107855</t>
  </si>
  <si>
    <t>ALM-0100</t>
  </si>
  <si>
    <t>José Gómez</t>
  </si>
  <si>
    <t>jose.gomez22@gmail.com</t>
  </si>
  <si>
    <t>+1 491 770 2629</t>
  </si>
  <si>
    <t>Apex Group</t>
  </si>
  <si>
    <t>ALM-0061</t>
  </si>
  <si>
    <t xml:space="preserve">  </t>
  </si>
  <si>
    <t>natalia.rodriguez3 @ company.com</t>
  </si>
  <si>
    <t>natalia.rodriguez3@company.com</t>
  </si>
  <si>
    <t>+52 048 187 9725</t>
  </si>
  <si>
    <t>Nova Group</t>
  </si>
  <si>
    <t>ALM-0062</t>
  </si>
  <si>
    <t>Javier Flores</t>
  </si>
  <si>
    <t>javier.flores94@company.com</t>
  </si>
  <si>
    <t>+54-6433136248</t>
  </si>
  <si>
    <t>Apex Partners</t>
  </si>
  <si>
    <t>ALM-0063</t>
  </si>
  <si>
    <t>Isabel Hernández</t>
  </si>
  <si>
    <t>isabel.hernandez64@outlook.com</t>
  </si>
  <si>
    <t>+56 985 264 358</t>
  </si>
  <si>
    <t>Vision Media</t>
  </si>
  <si>
    <t>ALM-0064</t>
  </si>
  <si>
    <t>Paula Castro</t>
  </si>
  <si>
    <t>2168233908</t>
  </si>
  <si>
    <t>ALM-0065</t>
  </si>
  <si>
    <t>Carlos López</t>
  </si>
  <si>
    <t>carlos.lopez95@outlook.com</t>
  </si>
  <si>
    <t>+51-515990381</t>
  </si>
  <si>
    <t>Prime Group</t>
  </si>
  <si>
    <t>ALM-0066</t>
  </si>
  <si>
    <t>elena torres</t>
  </si>
  <si>
    <t>elena.torres41@mail.com</t>
  </si>
  <si>
    <t>+56 514 763 909</t>
  </si>
  <si>
    <t>Bright Studio</t>
  </si>
  <si>
    <t>ALM-0067</t>
  </si>
  <si>
    <t>Camila Hernández</t>
  </si>
  <si>
    <t>camila.hernandez7@gmail.com</t>
  </si>
  <si>
    <t>+503-99090473</t>
  </si>
  <si>
    <t>ALM-0068</t>
  </si>
  <si>
    <t>Elena Vargas</t>
  </si>
  <si>
    <t>elena.vargas90@company.com</t>
  </si>
  <si>
    <t>+54 2159575470</t>
  </si>
  <si>
    <t>Vision Commerce</t>
  </si>
  <si>
    <t>ALM-0069</t>
  </si>
  <si>
    <t>Andrés Gómez</t>
  </si>
  <si>
    <t>andres.gomez55@mail.com</t>
  </si>
  <si>
    <t>+503 26678694</t>
  </si>
  <si>
    <t>Sol Works</t>
  </si>
  <si>
    <t>ALM-0070</t>
  </si>
  <si>
    <t>Laura Martínez</t>
  </si>
  <si>
    <t>laura.martinez8@company.com</t>
  </si>
  <si>
    <t>921879441</t>
  </si>
  <si>
    <t>Green Labs</t>
  </si>
  <si>
    <t>ALM-0071</t>
  </si>
  <si>
    <t>David Ortiz</t>
  </si>
  <si>
    <t>david.ortiz26@mail.com</t>
  </si>
  <si>
    <t>+1-5336844149</t>
  </si>
  <si>
    <t>Apex Commerce</t>
  </si>
  <si>
    <t>ALM-0197</t>
  </si>
  <si>
    <t>ALM-0073</t>
  </si>
  <si>
    <t>RICARDO LÓPEZ</t>
  </si>
  <si>
    <t>ricardo.lopez5@mail.com</t>
  </si>
  <si>
    <t>+503-79101013</t>
  </si>
  <si>
    <t>ALM-0074</t>
  </si>
  <si>
    <t>Carolina Ortiz</t>
  </si>
  <si>
    <t>carolina.ortiz69@gmail.com</t>
  </si>
  <si>
    <t>333427070</t>
  </si>
  <si>
    <t>Urban Solutions</t>
  </si>
  <si>
    <t>ALM-0075</t>
  </si>
  <si>
    <t>Fernando Ramírez</t>
  </si>
  <si>
    <t>fernando.ramirez67@company.com</t>
  </si>
  <si>
    <t>Momentum Commerce</t>
  </si>
  <si>
    <t>ALM-0076</t>
  </si>
  <si>
    <t xml:space="preserve">  Marta Rivera  </t>
  </si>
  <si>
    <t>marta.rivera75@outlook.com</t>
  </si>
  <si>
    <t>+57-4518781347</t>
  </si>
  <si>
    <t>Digital Services</t>
  </si>
  <si>
    <t>ALM-0077</t>
  </si>
  <si>
    <t>Isabel Rivera</t>
  </si>
  <si>
    <t>isabel.rivera15@outlook.com</t>
  </si>
  <si>
    <t>+1 968 359 4750</t>
  </si>
  <si>
    <t>Blue Partners</t>
  </si>
  <si>
    <t>US</t>
  </si>
  <si>
    <t>ALM-0078</t>
  </si>
  <si>
    <t>Sergio García</t>
  </si>
  <si>
    <t>sergio.garcia86@outlook.com</t>
  </si>
  <si>
    <t>7562423315</t>
  </si>
  <si>
    <t>ALM-0079</t>
  </si>
  <si>
    <t>Manuel Rodríguez</t>
  </si>
  <si>
    <t>manuel.rodriguez68@gmail.com</t>
  </si>
  <si>
    <t>Vision Consulting</t>
  </si>
  <si>
    <t>ALM-0080</t>
  </si>
  <si>
    <t>David Rodríguez</t>
  </si>
  <si>
    <t>david.rodriguez27@company.com</t>
  </si>
  <si>
    <t>02459593</t>
  </si>
  <si>
    <t>ALM-0081</t>
  </si>
  <si>
    <t>isabel.gomez42@mail.com</t>
  </si>
  <si>
    <t>7665420309</t>
  </si>
  <si>
    <t>ALM-0082</t>
  </si>
  <si>
    <t>Daniel Díaz</t>
  </si>
  <si>
    <t>daniel.diaz68@gmail.com</t>
  </si>
  <si>
    <t>+54 837 455 6123</t>
  </si>
  <si>
    <t>Urban Consulting</t>
  </si>
  <si>
    <t>ALM-0083</t>
  </si>
  <si>
    <t>Luis Morales</t>
  </si>
  <si>
    <t>luis.morales26@gmail.com</t>
  </si>
  <si>
    <t>8070743004</t>
  </si>
  <si>
    <t>ALM-0084</t>
  </si>
  <si>
    <t>Ana García</t>
  </si>
  <si>
    <t>ana.garcia24@mail.com</t>
  </si>
  <si>
    <t>+34 276297111</t>
  </si>
  <si>
    <t>Sol Media</t>
  </si>
  <si>
    <t>ALM-0085</t>
  </si>
  <si>
    <t>Carlos Martínez</t>
  </si>
  <si>
    <t>AI Lab Mind — Data Cleaning Portfolio Exercise</t>
  </si>
  <si>
    <t>+1-7651379288</t>
  </si>
  <si>
    <t>Prime Studio</t>
  </si>
  <si>
    <t>USA</t>
  </si>
  <si>
    <t>ALM-0086</t>
  </si>
  <si>
    <t>Laura Gómez</t>
  </si>
  <si>
    <t>laura.gomez3@company.com</t>
  </si>
  <si>
    <t>+56-709672057</t>
  </si>
  <si>
    <t>Green Works</t>
  </si>
  <si>
    <t>Section</t>
  </si>
  <si>
    <t>Content</t>
  </si>
  <si>
    <t>Purpose</t>
  </si>
  <si>
    <t>Synthetic client/lead database for a portfolio exercise. No real client data is included.</t>
  </si>
  <si>
    <t>ALM-0087</t>
  </si>
  <si>
    <t>Isabel González</t>
  </si>
  <si>
    <t>Scenario</t>
  </si>
  <si>
    <t>isabel.gonzalez3@company.com</t>
  </si>
  <si>
    <t>AI Lab Mind exported records from multiple sources. Intentional data-quality problems are present.</t>
  </si>
  <si>
    <t>Your task</t>
  </si>
  <si>
    <t>Keep RAW_DATA unchanged. Later we will create a separate cleaned dataset and document each transformation.</t>
  </si>
  <si>
    <t>Issues included</t>
  </si>
  <si>
    <t>Duplicates, missing values, inconsistent capitalization/spacing, country variants, inconsistent statuses, malformed/missing emails, phone-format differences and missing dates.</t>
  </si>
  <si>
    <t>+1-7323032338</t>
  </si>
  <si>
    <t>Nexo Commerce</t>
  </si>
  <si>
    <t>Target skills</t>
  </si>
  <si>
    <t>Excel / Google Sheets, duplicate detection, formulas, filters, sorting, data cleaning, consolidation and basic reporting.</t>
  </si>
  <si>
    <t>Portfolio rule</t>
  </si>
  <si>
    <t>Present this clearly as a sample/synthetic project, not as real customer work.</t>
  </si>
  <si>
    <t>Dataset size</t>
  </si>
  <si>
    <t>200 records + header</t>
  </si>
  <si>
    <t>ALM-0088</t>
  </si>
  <si>
    <t>Laura Rivera</t>
  </si>
  <si>
    <t>laura.rivera45@gmail.com</t>
  </si>
  <si>
    <t>Work Performed</t>
  </si>
  <si>
    <t>Preserved the original raw dataset and created a separate working copy for cleaning, validation, and audit tracking.</t>
  </si>
  <si>
    <t>Duplicate Management</t>
  </si>
  <si>
    <t>9371595864</t>
  </si>
  <si>
    <t>Identified duplicate email groups, manually verified exact duplicate records, and removed 9 duplicate copies while retaining one valid record per group.</t>
  </si>
  <si>
    <t>Email Validation</t>
  </si>
  <si>
    <t>Normalized email addresses, validated formatting, automatically corrected 4 deterministic spacing errors, and flagged 4 incomplete-domain emails for manual review instead of assuming missing information.</t>
  </si>
  <si>
    <t>Data Standardization</t>
  </si>
  <si>
    <t>Standardized country names and lead status values to consistent formats while preserving the original source data for auditability.</t>
  </si>
  <si>
    <t>Quality Control</t>
  </si>
  <si>
    <t>Tracked missing and invalid values, retained unresolved records for review, and used audit fields to document cleaning decisions without inventing missing data.</t>
  </si>
  <si>
    <t>ALM-0089</t>
  </si>
  <si>
    <t>Ana Flores</t>
  </si>
  <si>
    <t>ana.flores62@gmail.com</t>
  </si>
  <si>
    <t>Final Deliverable</t>
  </si>
  <si>
    <t>Delivered a clean 191-record dataset and an executive report with data quality metrics, pipeline value, lead status, lead source, service interest, and visual summaries.</t>
  </si>
  <si>
    <t>Skills Demonstrated</t>
  </si>
  <si>
    <t>Google Sheets · Data Cleaning · Data Validation · Duplicate Detection · Data Standardization · VLOOKUP · QUERY · Reporting · Data Visualization · Audit Trail</t>
  </si>
  <si>
    <t>+34-414454779</t>
  </si>
  <si>
    <t>SPAIN</t>
  </si>
  <si>
    <t>Key Results</t>
  </si>
  <si>
    <t>200 original records → 191 final records · 9 exact duplicates removed · 4.5% duplicate removal rate · 4 emails safely auto-fixed · 4 emails flagged for review · $311,450 total estimated pipeline value.</t>
  </si>
  <si>
    <t>ALM-0090</t>
  </si>
  <si>
    <t>Valeria Castro</t>
  </si>
  <si>
    <t>valeria.castro40@mail.com</t>
  </si>
  <si>
    <t>+52 361 107 5819</t>
  </si>
  <si>
    <t>Momentum Group</t>
  </si>
  <si>
    <t>mexico</t>
  </si>
  <si>
    <t>ALM-0091</t>
  </si>
  <si>
    <t>patricia.rodriguez74@mail.com</t>
  </si>
  <si>
    <t>+51-104165797</t>
  </si>
  <si>
    <t>ALM-0092</t>
  </si>
  <si>
    <t>LUIS GONZÁLEZ</t>
  </si>
  <si>
    <t>luis.gonzalez69@gmail.com</t>
  </si>
  <si>
    <t>+56 951667994</t>
  </si>
  <si>
    <t>Vertex Media</t>
  </si>
  <si>
    <t>ALM-0093</t>
  </si>
  <si>
    <t>luis.morales55@company.com</t>
  </si>
  <si>
    <t>+34 745 616 412</t>
  </si>
  <si>
    <t>ALM-0094</t>
  </si>
  <si>
    <t>David González</t>
  </si>
  <si>
    <t>david.gonzalez31@gmail.com</t>
  </si>
  <si>
    <t>105054787</t>
  </si>
  <si>
    <t>Nova Consulting</t>
  </si>
  <si>
    <t>ALM-0095</t>
  </si>
  <si>
    <t>Carolina García</t>
  </si>
  <si>
    <t>carolina.garcia98@mail.com</t>
  </si>
  <si>
    <t>848766383</t>
  </si>
  <si>
    <t>ALM-0096</t>
  </si>
  <si>
    <t>Sergio Gómez</t>
  </si>
  <si>
    <t>sergio.gomez44@mail.com</t>
  </si>
  <si>
    <t>+57 6534755042</t>
  </si>
  <si>
    <t>Vertex Consulting</t>
  </si>
  <si>
    <t>ALM-0097</t>
  </si>
  <si>
    <t>SERGIO NAVARRO</t>
  </si>
  <si>
    <t>sergio.navarro85@gmail.com</t>
  </si>
  <si>
    <t>4313534385</t>
  </si>
  <si>
    <t>Bright Media</t>
  </si>
  <si>
    <t>CONTACTED</t>
  </si>
  <si>
    <t>ALM-0098</t>
  </si>
  <si>
    <t>Javier Navarro</t>
  </si>
  <si>
    <t>+34 813 084 667</t>
  </si>
  <si>
    <t>Urban Media</t>
  </si>
  <si>
    <t>España</t>
  </si>
  <si>
    <t>ALM-0099</t>
  </si>
  <si>
    <t>CAROLINA NAVARRO</t>
  </si>
  <si>
    <t>carolina.navarro58@gmail.com</t>
  </si>
  <si>
    <t>+503 54250792</t>
  </si>
  <si>
    <t>ALM-0008</t>
  </si>
  <si>
    <t>PATRICIA MARTÍNEZ</t>
  </si>
  <si>
    <t>patricia.martinez26@gmail.com</t>
  </si>
  <si>
    <t>+503 09369254</t>
  </si>
  <si>
    <t>Vision Solutions</t>
  </si>
  <si>
    <t>ALM-0101</t>
  </si>
  <si>
    <t>David Navarro</t>
  </si>
  <si>
    <t>david.navarro78@company.com</t>
  </si>
  <si>
    <t>+51 845774387</t>
  </si>
  <si>
    <t>ALM-0102</t>
  </si>
  <si>
    <t>fernando.diaz28@gmail.com</t>
  </si>
  <si>
    <t>+503 275 304 17</t>
  </si>
  <si>
    <t>ALM-0103</t>
  </si>
  <si>
    <t>Patricia Vargas</t>
  </si>
  <si>
    <t>patricia.vargas46@mail.com</t>
  </si>
  <si>
    <t>+56 604 702 366</t>
  </si>
  <si>
    <t>Bright Labs</t>
  </si>
  <si>
    <t>ALM-0104</t>
  </si>
  <si>
    <t>Ana López</t>
  </si>
  <si>
    <t>ana.lopez5@mail.com</t>
  </si>
  <si>
    <t>+1 698 088 2051</t>
  </si>
  <si>
    <t>Nova Works</t>
  </si>
  <si>
    <t>Proposal</t>
  </si>
  <si>
    <t>ALM-0105</t>
  </si>
  <si>
    <t>valeria.castro17@gmail.com</t>
  </si>
  <si>
    <t>+52-8293081129</t>
  </si>
  <si>
    <t>ALM-0106</t>
  </si>
  <si>
    <t>Valeria García</t>
  </si>
  <si>
    <t>valeria.garcia11@outlook.com</t>
  </si>
  <si>
    <t>601867359</t>
  </si>
  <si>
    <t>NOVA LABS</t>
  </si>
  <si>
    <t>ALM-0107</t>
  </si>
  <si>
    <t>Manuel Castro</t>
  </si>
  <si>
    <t>Data Quality Metric</t>
  </si>
  <si>
    <t>manuel.castro90@company.com</t>
  </si>
  <si>
    <t>+34 617591710</t>
  </si>
  <si>
    <t>Result</t>
  </si>
  <si>
    <t>ALM-0108</t>
  </si>
  <si>
    <t>Miguel Castro</t>
  </si>
  <si>
    <t>miguel.castro98@mail.com</t>
  </si>
  <si>
    <t>+57 942 640 0471</t>
  </si>
  <si>
    <t>Metric Under Review — Unique Email Difference</t>
  </si>
  <si>
    <t>ALM-0109</t>
  </si>
  <si>
    <t>Ana Hernández</t>
  </si>
  <si>
    <t>ana.hernandez93@outlook.com</t>
  </si>
  <si>
    <t>Records in Duplicate Groups</t>
  </si>
  <si>
    <t>+56 700683065</t>
  </si>
  <si>
    <t xml:space="preserve"> Momentum Works</t>
  </si>
  <si>
    <t>Records Marked for Removal</t>
  </si>
  <si>
    <t>ALM-0110</t>
  </si>
  <si>
    <t>miguel ramírez</t>
  </si>
  <si>
    <t>miguel.ramirez23@mail.com</t>
  </si>
  <si>
    <t>+1 337 473 7716</t>
  </si>
  <si>
    <t>Green Partners</t>
  </si>
  <si>
    <t>Distinct Duplicate Emails</t>
  </si>
  <si>
    <t>ALM-0111</t>
  </si>
  <si>
    <t>jose.gomez79@mail.com</t>
  </si>
  <si>
    <t>+503 570 829 54</t>
  </si>
  <si>
    <t>Blue Group</t>
  </si>
  <si>
    <t>Largest Duplicate Group</t>
  </si>
  <si>
    <t>ALM-0112</t>
  </si>
  <si>
    <t>Alejandro Morales</t>
  </si>
  <si>
    <t>alejandro.morales37@company.com</t>
  </si>
  <si>
    <t>Missing Emails</t>
  </si>
  <si>
    <t>+56 356 142 033</t>
  </si>
  <si>
    <t>BLUE GROUP</t>
  </si>
  <si>
    <t>Invalid Email Format</t>
  </si>
  <si>
    <t>ALM-0113</t>
  </si>
  <si>
    <t>David Flores</t>
  </si>
  <si>
    <t>david.flores57@outlook.com</t>
  </si>
  <si>
    <t>+1 463 450 0076</t>
  </si>
  <si>
    <t>Records Classified as Invalid Email</t>
  </si>
  <si>
    <t>ALM-0114</t>
  </si>
  <si>
    <t>Ana Ortiz</t>
  </si>
  <si>
    <t>ana.ortiz72@gmail</t>
  </si>
  <si>
    <t>REVIEW — Incomplete domain</t>
  </si>
  <si>
    <t>+34 940 882 859</t>
  </si>
  <si>
    <t>Espana</t>
  </si>
  <si>
    <t>Missing Phone Numbers</t>
  </si>
  <si>
    <t>ALM-0115</t>
  </si>
  <si>
    <t>Paula López</t>
  </si>
  <si>
    <t>paula.lopez23@gmail.com</t>
  </si>
  <si>
    <t>Missing Company</t>
  </si>
  <si>
    <t>+1 9561685659</t>
  </si>
  <si>
    <t xml:space="preserve"> Nexo Works</t>
  </si>
  <si>
    <t>ALM-0116</t>
  </si>
  <si>
    <t xml:space="preserve">  Carolina Rivera  </t>
  </si>
  <si>
    <t>carolina.rivera48@mail.com</t>
  </si>
  <si>
    <t>Missing Lead Status</t>
  </si>
  <si>
    <t>Missing Last Contact Date</t>
  </si>
  <si>
    <t>+34 086 185 140</t>
  </si>
  <si>
    <t>Final Records</t>
  </si>
  <si>
    <t>ALM-0117</t>
  </si>
  <si>
    <t>Andrés González</t>
  </si>
  <si>
    <t>andres.gonzalez89@gmail.com</t>
  </si>
  <si>
    <t>+56 226 129 038</t>
  </si>
  <si>
    <t>Vision Studio</t>
  </si>
  <si>
    <t>ALM-0118</t>
  </si>
  <si>
    <t>Manuel Vargas</t>
  </si>
  <si>
    <t>manuel.vargas39@mail.com</t>
  </si>
  <si>
    <t>+56 560 133 098</t>
  </si>
  <si>
    <t>ALM-0119</t>
  </si>
  <si>
    <t>Raúl Vargas</t>
  </si>
  <si>
    <t>raul.vargas51@gmail.com</t>
  </si>
  <si>
    <t>+34-790386715</t>
  </si>
  <si>
    <t>Urban Services</t>
  </si>
  <si>
    <t>ALM-0120</t>
  </si>
  <si>
    <t>Luis Hernández</t>
  </si>
  <si>
    <t>luis.hernandez26@mail.com</t>
  </si>
  <si>
    <t>+51 339 768 353</t>
  </si>
  <si>
    <t>ALM-0121</t>
  </si>
  <si>
    <t xml:space="preserve">  Lucía Vargas  </t>
  </si>
  <si>
    <t>lucia.vargas98@gmail.com</t>
  </si>
  <si>
    <t>+1 635 410 9940</t>
  </si>
  <si>
    <t>ALM-0122</t>
  </si>
  <si>
    <t>Lucía Díaz</t>
  </si>
  <si>
    <t>lucia.diaz1@company.com</t>
  </si>
  <si>
    <t>8567496328</t>
  </si>
  <si>
    <t>ALM-0123</t>
  </si>
  <si>
    <t>Daniel Gómez</t>
  </si>
  <si>
    <t>daniel.gomez70@outlook.com</t>
  </si>
  <si>
    <t>1957410267</t>
  </si>
  <si>
    <t>Atlas Commerce</t>
  </si>
  <si>
    <t>ALM-0124</t>
  </si>
  <si>
    <t>Elena Morales</t>
  </si>
  <si>
    <t>+34-918285663</t>
  </si>
  <si>
    <t>Vision Labs</t>
  </si>
  <si>
    <t>ALM-0125</t>
  </si>
  <si>
    <t>daniel.diaz37@outlook.com</t>
  </si>
  <si>
    <t>+503 81128520</t>
  </si>
  <si>
    <t>Prime Commerce</t>
  </si>
  <si>
    <t>ALM-0126</t>
  </si>
  <si>
    <t>david.gonzalez67@outlook.com</t>
  </si>
  <si>
    <t>082230988</t>
  </si>
  <si>
    <t>ALM-0127</t>
  </si>
  <si>
    <t>Diego Hernández</t>
  </si>
  <si>
    <t>diego.hernandez61@gmail.com</t>
  </si>
  <si>
    <t>+56-286970949</t>
  </si>
  <si>
    <t>ALM-0128</t>
  </si>
  <si>
    <t>Sofía López</t>
  </si>
  <si>
    <t>sofia.lopez20@gmail.com</t>
  </si>
  <si>
    <t>+54 245 100 6367</t>
  </si>
  <si>
    <t>ALM-0129</t>
  </si>
  <si>
    <t>SOFÍA DÍAZ</t>
  </si>
  <si>
    <t>sofia.diaz89@mail.com</t>
  </si>
  <si>
    <t>8882056262</t>
  </si>
  <si>
    <t>ALM-0130</t>
  </si>
  <si>
    <t>maria.ortiz31@gmail.com</t>
  </si>
  <si>
    <t>+56 898 597 771</t>
  </si>
  <si>
    <t>ALM-0131</t>
  </si>
  <si>
    <t>Paula Flores</t>
  </si>
  <si>
    <t>paula.flores21@mail.com</t>
  </si>
  <si>
    <t>+52-6150366632</t>
  </si>
  <si>
    <t>Sol Consulting</t>
  </si>
  <si>
    <t>ALM-0132</t>
  </si>
  <si>
    <t>Manuel Rivera</t>
  </si>
  <si>
    <t>manuel.rivera5@company.com</t>
  </si>
  <si>
    <t>433147727</t>
  </si>
  <si>
    <t>Nexo Labs</t>
  </si>
  <si>
    <t>ALM-0133</t>
  </si>
  <si>
    <t>David Sánchez</t>
  </si>
  <si>
    <t>david.sanchez3@company.com</t>
  </si>
  <si>
    <t>ID_REGISTRO</t>
  </si>
  <si>
    <t>+51 736 271 433</t>
  </si>
  <si>
    <t>Green Consulting</t>
  </si>
  <si>
    <t>ALM-0134</t>
  </si>
  <si>
    <t>José Martínez</t>
  </si>
  <si>
    <t>jose.martinez32@outlook.com</t>
  </si>
  <si>
    <t>1498890472</t>
  </si>
  <si>
    <t>ALM-0135</t>
  </si>
  <si>
    <t>patricia.diaz3@mail.com</t>
  </si>
  <si>
    <t>Nombre_Completo</t>
  </si>
  <si>
    <t>+57 2907151478</t>
  </si>
  <si>
    <t>Cloud Group</t>
  </si>
  <si>
    <t>Teléfono</t>
  </si>
  <si>
    <t>Compañía</t>
  </si>
  <si>
    <t>País</t>
  </si>
  <si>
    <t>ALM-0136</t>
  </si>
  <si>
    <t>luis.flores57@company.com</t>
  </si>
  <si>
    <t>Fuente_del_Lead</t>
  </si>
  <si>
    <t>Servico_de_Interés</t>
  </si>
  <si>
    <t>+57 538 154 3613</t>
  </si>
  <si>
    <t>Vision Works</t>
  </si>
  <si>
    <t>Estado_del_Lead</t>
  </si>
  <si>
    <t>Valor_Estimado_USD</t>
  </si>
  <si>
    <t>ALM-0137</t>
  </si>
  <si>
    <t>Raúl Sánchez</t>
  </si>
  <si>
    <t>raul.sanchez96@outlook.com</t>
  </si>
  <si>
    <t>Fecha_de_Creación</t>
  </si>
  <si>
    <t>Fecha_Ultimo_Contacto</t>
  </si>
  <si>
    <t>Notas</t>
  </si>
  <si>
    <t>790258669</t>
  </si>
  <si>
    <t>Nova Services</t>
  </si>
  <si>
    <t>ALM-0138</t>
  </si>
  <si>
    <t xml:space="preserve">  Paula Castro  </t>
  </si>
  <si>
    <t>paula.castro12@company.com</t>
  </si>
  <si>
    <t>+1-8300585560</t>
  </si>
  <si>
    <t>ALM-0139</t>
  </si>
  <si>
    <t>MIGUEL LÓPEZ</t>
  </si>
  <si>
    <t>361739448</t>
  </si>
  <si>
    <t>ALM-0140</t>
  </si>
  <si>
    <t>andres.sanchez5@gmail.com</t>
  </si>
  <si>
    <t>+51 164435378</t>
  </si>
  <si>
    <t>ALM-0141</t>
  </si>
  <si>
    <t>Carlos Morales</t>
  </si>
  <si>
    <t>carlos.morales7@company.com</t>
  </si>
  <si>
    <t>+503-15737884</t>
  </si>
  <si>
    <t>ALM-0142</t>
  </si>
  <si>
    <t>María Morales</t>
  </si>
  <si>
    <t>maria.morales26@outlook.com</t>
  </si>
  <si>
    <t>9325473404</t>
  </si>
  <si>
    <t>ALM-0143</t>
  </si>
  <si>
    <t>LUCÍA ORTIZ</t>
  </si>
  <si>
    <t>lucia.ortiz70@company.com</t>
  </si>
  <si>
    <t>68353660</t>
  </si>
  <si>
    <t>ALM-0144</t>
  </si>
  <si>
    <t>Fernando Flores</t>
  </si>
  <si>
    <t>fernando.flores76@company.com</t>
  </si>
  <si>
    <t>+34-276910798</t>
  </si>
  <si>
    <t>ALM-0145</t>
  </si>
  <si>
    <t>manuel rodríguez</t>
  </si>
  <si>
    <t>manuel.rodriguez23@gmail</t>
  </si>
  <si>
    <t>46816577</t>
  </si>
  <si>
    <t>ALM-0146</t>
  </si>
  <si>
    <t>Daniel Sánchez</t>
  </si>
  <si>
    <t>+34-888532093</t>
  </si>
  <si>
    <t>ALM-0147</t>
  </si>
  <si>
    <t>paula.lopez87@outlook.com</t>
  </si>
  <si>
    <t>+54-8088893920</t>
  </si>
  <si>
    <t>Digital Group</t>
  </si>
  <si>
    <t>ALM-0148</t>
  </si>
  <si>
    <t>Ricardo Torres</t>
  </si>
  <si>
    <t>ricardo.torres8@gmail.com</t>
  </si>
  <si>
    <t>+503-66191375</t>
  </si>
  <si>
    <t>ALM-0149</t>
  </si>
  <si>
    <t>Lucía Flores</t>
  </si>
  <si>
    <t>lucia.flores76@company.com</t>
  </si>
  <si>
    <t>+51 551149129</t>
  </si>
  <si>
    <t>ALM-0150</t>
  </si>
  <si>
    <t>fernando.ramirez1@gmail.com</t>
  </si>
  <si>
    <t>+51-638299429</t>
  </si>
  <si>
    <t>ALM-0151</t>
  </si>
  <si>
    <t>Gabriela Ramírez</t>
  </si>
  <si>
    <t>gabriela.ramirez34@outlook.com</t>
  </si>
  <si>
    <t>3521981237</t>
  </si>
  <si>
    <t>Atlas Partners</t>
  </si>
  <si>
    <t>ALM-0152</t>
  </si>
  <si>
    <t>José Castro</t>
  </si>
  <si>
    <t>jose.castro34@gmail.com</t>
  </si>
  <si>
    <t>2160990710</t>
  </si>
  <si>
    <t>ALM-0153</t>
  </si>
  <si>
    <t>paula.flores40@gmail.com</t>
  </si>
  <si>
    <t>711204062</t>
  </si>
  <si>
    <t>Digital Partners</t>
  </si>
  <si>
    <t>ALM-0154</t>
  </si>
  <si>
    <t>Andrés Romero</t>
  </si>
  <si>
    <t>andres.romero91@gmail.com</t>
  </si>
  <si>
    <t>+57-2266782499</t>
  </si>
  <si>
    <t>ALM-0155</t>
  </si>
  <si>
    <t>LUIS FLORES</t>
  </si>
  <si>
    <t>LUIS.FLORES66@GMAIL.COM</t>
  </si>
  <si>
    <t>621229034</t>
  </si>
  <si>
    <t>ALM-0156</t>
  </si>
  <si>
    <t>laura.rivera43@company.com</t>
  </si>
  <si>
    <t>+54 875 785 3178</t>
  </si>
  <si>
    <t>Momentum Partners</t>
  </si>
  <si>
    <t>ALM-0157</t>
  </si>
  <si>
    <t>David Romero</t>
  </si>
  <si>
    <t>david.romero42@gmail.com</t>
  </si>
  <si>
    <t>6208974456</t>
  </si>
  <si>
    <t>Cloud Partners</t>
  </si>
  <si>
    <t>ALM-0158</t>
  </si>
  <si>
    <t>manuel gómez</t>
  </si>
  <si>
    <t>manuel.gomez96@mail.com</t>
  </si>
  <si>
    <t>+57 767 262 5339</t>
  </si>
  <si>
    <t>ALM-0159</t>
  </si>
  <si>
    <t>Laura Torres</t>
  </si>
  <si>
    <t>laura.torres19@gmail.com</t>
  </si>
  <si>
    <t>Prime Consulting</t>
  </si>
  <si>
    <t>ALM-0160</t>
  </si>
  <si>
    <t>Daniel Ramírez</t>
  </si>
  <si>
    <t>daniel.ramirez25@outlook.com</t>
  </si>
  <si>
    <t>+34-361067270</t>
  </si>
  <si>
    <t>ALM-0161</t>
  </si>
  <si>
    <t>Manuel Martínez</t>
  </si>
  <si>
    <t>manuel.martinez2@gmail.com</t>
  </si>
  <si>
    <t>+51 717 127 847</t>
  </si>
  <si>
    <t>ALM-0162</t>
  </si>
  <si>
    <t>Miguel Sánchez</t>
  </si>
  <si>
    <t>miguel.sanchez3 @ mail.com</t>
  </si>
  <si>
    <t>miguel.sanchez3@mail.com</t>
  </si>
  <si>
    <t>+52 5621833852</t>
  </si>
  <si>
    <t>Green Solutions</t>
  </si>
  <si>
    <t>ALM-0163</t>
  </si>
  <si>
    <t>Raúl Pérez</t>
  </si>
  <si>
    <t>raul.perez31@outlook.com</t>
  </si>
  <si>
    <t>+52-8071470510</t>
  </si>
  <si>
    <t>ALM-0164</t>
  </si>
  <si>
    <t>Lucía Romero</t>
  </si>
  <si>
    <t>lucia.romero64@mail.com</t>
  </si>
  <si>
    <t>+56 270488243</t>
  </si>
  <si>
    <t>ALM-0165</t>
  </si>
  <si>
    <t>ALEJANDRO GONZÁLEZ</t>
  </si>
  <si>
    <t>alejandro.gonzalez30@mail.com</t>
  </si>
  <si>
    <t>+1 1882359298</t>
  </si>
  <si>
    <t>Nova Labs</t>
  </si>
  <si>
    <t>ALM-0166</t>
  </si>
  <si>
    <t>Andrés Castro</t>
  </si>
  <si>
    <t>andres.castro65@outlook.com</t>
  </si>
  <si>
    <t>+1-7598255590</t>
  </si>
  <si>
    <t>Blue Works</t>
  </si>
  <si>
    <t>ALM-0167</t>
  </si>
  <si>
    <t>Manuel Sánchez</t>
  </si>
  <si>
    <t>manuel.sanchez24@gmail.com</t>
  </si>
  <si>
    <t>+1-4183584322</t>
  </si>
  <si>
    <t>ALM-0168</t>
  </si>
  <si>
    <t>Ana Castro</t>
  </si>
  <si>
    <t>ana.castro42@gmail.com</t>
  </si>
  <si>
    <t>ALM-0169</t>
  </si>
  <si>
    <t>Patricia Rivera</t>
  </si>
  <si>
    <t>PATRICIA.RIVERA43@OUTLOOK.COM</t>
  </si>
  <si>
    <t>1298537478</t>
  </si>
  <si>
    <t>Blue Solutions</t>
  </si>
  <si>
    <t>ALM-0170</t>
  </si>
  <si>
    <t>Valeria Vargas</t>
  </si>
  <si>
    <t>valeria.vargas97@company.com</t>
  </si>
  <si>
    <t>+57 6334538656</t>
  </si>
  <si>
    <t>ALM-0171</t>
  </si>
  <si>
    <t>Isabel Castro</t>
  </si>
  <si>
    <t>isabel.castro42@company.com</t>
  </si>
  <si>
    <t>607521611</t>
  </si>
  <si>
    <t>ALM-0172</t>
  </si>
  <si>
    <t>laura.torres81@gmail</t>
  </si>
  <si>
    <t>+54-0643959911</t>
  </si>
  <si>
    <t>ALM-0173</t>
  </si>
  <si>
    <t>Fernando Vargas</t>
  </si>
  <si>
    <t>fernando.vargas89@gmail.com</t>
  </si>
  <si>
    <t>+56 084924937</t>
  </si>
  <si>
    <t>ALM-0174</t>
  </si>
  <si>
    <t>maría gómez</t>
  </si>
  <si>
    <t>maria.gomez45@company.com</t>
  </si>
  <si>
    <t>1171726132</t>
  </si>
  <si>
    <t>ALM-0175</t>
  </si>
  <si>
    <t>Carlos Hernández</t>
  </si>
  <si>
    <t>carlos.hernandez52@outlook.com</t>
  </si>
  <si>
    <t>+503 96814495</t>
  </si>
  <si>
    <t>ALM-0176</t>
  </si>
  <si>
    <t>isabel.ortiz35@gmail.com</t>
  </si>
  <si>
    <t>+503 89621861</t>
  </si>
  <si>
    <t>Nova Media</t>
  </si>
  <si>
    <t>ALM-0177</t>
  </si>
  <si>
    <t>patricia.diaz44@mail.com</t>
  </si>
  <si>
    <t>Nexo Studio</t>
  </si>
  <si>
    <t>ALM-0178</t>
  </si>
  <si>
    <t>Sergio Sánchez</t>
  </si>
  <si>
    <t>sergio.sanchez42@gmail.com</t>
  </si>
  <si>
    <t>4920159611</t>
  </si>
  <si>
    <t>Blue Consulting</t>
  </si>
  <si>
    <t>ALM-0179</t>
  </si>
  <si>
    <t>Paula García</t>
  </si>
  <si>
    <t>paula.garcia31@outlook.com</t>
  </si>
  <si>
    <t>685508313</t>
  </si>
  <si>
    <t>Vision Group</t>
  </si>
  <si>
    <t>ALM-0180</t>
  </si>
  <si>
    <t>Isabel Torres</t>
  </si>
  <si>
    <t>isabel.torres94@mail.com</t>
  </si>
  <si>
    <t>09409693</t>
  </si>
  <si>
    <t>ALM-0181</t>
  </si>
  <si>
    <t>Luis Romero</t>
  </si>
  <si>
    <t>luis.romero32@mail.com</t>
  </si>
  <si>
    <t>+1 4705038251</t>
  </si>
  <si>
    <t>ALM-0182</t>
  </si>
  <si>
    <t>Javier Vargas</t>
  </si>
  <si>
    <t>javier.vargas25@gmail.com</t>
  </si>
  <si>
    <t>ALM-0006</t>
  </si>
  <si>
    <t>Prime Partners</t>
  </si>
  <si>
    <t>paula.diaz25@outlook.com</t>
  </si>
  <si>
    <t>ALM-0183</t>
  </si>
  <si>
    <t>david vargas</t>
  </si>
  <si>
    <t>david.vargas77@company.com</t>
  </si>
  <si>
    <t>+51 216932765</t>
  </si>
  <si>
    <t>ALM-0184</t>
  </si>
  <si>
    <t>Diego Castro</t>
  </si>
  <si>
    <t>diego.castro2@outlook.com</t>
  </si>
  <si>
    <t>+56 510972174</t>
  </si>
  <si>
    <t>+56 602 437 918</t>
  </si>
  <si>
    <t>Urban Labs</t>
  </si>
  <si>
    <t>Digital Studio</t>
  </si>
  <si>
    <t>ALM-0185</t>
  </si>
  <si>
    <t>Lucía Castro</t>
  </si>
  <si>
    <t>lucia.castro29@gmail.com</t>
  </si>
  <si>
    <t>+54 8426880738</t>
  </si>
  <si>
    <t>ALM-0186</t>
  </si>
  <si>
    <t>Luis López</t>
  </si>
  <si>
    <t>luis.lopez31@mail</t>
  </si>
  <si>
    <t>+52 7269446106</t>
  </si>
  <si>
    <t>Bright Group</t>
  </si>
  <si>
    <t>ALM-0187</t>
  </si>
  <si>
    <t>raul.perez66@mail.com</t>
  </si>
  <si>
    <t>ALM-0188</t>
  </si>
  <si>
    <t>Elena Díaz</t>
  </si>
  <si>
    <t>elena.diaz46@gmail.com</t>
  </si>
  <si>
    <t>ALM-0189</t>
  </si>
  <si>
    <t>Miguel Martínez</t>
  </si>
  <si>
    <t>miguel.martinez42@mail.com</t>
  </si>
  <si>
    <t>+56-315447407</t>
  </si>
  <si>
    <t>ALM-0190</t>
  </si>
  <si>
    <t>Lucía Rodríguez</t>
  </si>
  <si>
    <t>lucia.rodriguez52@company.com</t>
  </si>
  <si>
    <t>+56-702963040</t>
  </si>
  <si>
    <t>Green Commerce</t>
  </si>
  <si>
    <t>ALM-0195</t>
  </si>
  <si>
    <t>PATRICIA.MARTINEZ26@GMAIL.COM</t>
  </si>
  <si>
    <t>ALM-0199</t>
  </si>
  <si>
    <t>ALM-0022</t>
  </si>
  <si>
    <t>sergio.gomez90@outlook.com</t>
  </si>
  <si>
    <t>3145091327</t>
  </si>
  <si>
    <t>ALM-0193</t>
  </si>
  <si>
    <t>ALM-0196</t>
  </si>
  <si>
    <t xml:space="preserve"> Javier Navarro </t>
  </si>
  <si>
    <t>ALM-0194</t>
  </si>
  <si>
    <t xml:space="preserve"> Valeria Rivera </t>
  </si>
  <si>
    <t>ALM-0049</t>
  </si>
  <si>
    <t>Valeria Romero</t>
  </si>
  <si>
    <t>VALERIA.ROMERO51@MAIL.COM</t>
  </si>
  <si>
    <t>+52 0112761625</t>
  </si>
  <si>
    <t>Nova Solutions</t>
  </si>
  <si>
    <t>ALM-0198</t>
  </si>
  <si>
    <t xml:space="preserve"> Valeria Romero </t>
  </si>
  <si>
    <t>Email_Normalizado</t>
  </si>
  <si>
    <t>Acción_Email</t>
  </si>
  <si>
    <t>Email_Limpio</t>
  </si>
  <si>
    <t>Estado_Duplicado</t>
  </si>
  <si>
    <t>Acción_de_Datos</t>
  </si>
  <si>
    <t>Calidad_de_Email</t>
  </si>
  <si>
    <t>Normalización_de_País</t>
  </si>
  <si>
    <t>Interés_del_Servicio</t>
  </si>
  <si>
    <t>Estátus_del_Lead</t>
  </si>
  <si>
    <t>Normalización_del_Estatus_del_Lead</t>
  </si>
  <si>
    <t>Fecha_de_Último_Contacto</t>
  </si>
  <si>
    <t>Us</t>
  </si>
  <si>
    <t/>
  </si>
  <si>
    <t>Usa</t>
  </si>
  <si>
    <t>Métrica de Calidad de Datos</t>
  </si>
  <si>
    <t>Resultado</t>
  </si>
  <si>
    <t>Registros Originales</t>
  </si>
  <si>
    <t>Métrica en Revisión — Diferencia de Emails Únicos</t>
  </si>
  <si>
    <t>Registros en Grupos Duplicados</t>
  </si>
  <si>
    <t>Registros Marcados para Eliminación</t>
  </si>
  <si>
    <t>Emails Duplicados Distintos</t>
  </si>
  <si>
    <t>Tamaño del Mayor Grupo Duplicado</t>
  </si>
  <si>
    <t>Emails Faltantes</t>
  </si>
  <si>
    <t>Emails con Formato Inválido</t>
  </si>
  <si>
    <t>Registros Clasificados con Email Inválido</t>
  </si>
  <si>
    <t>Emails Corregidos Automáticamente</t>
  </si>
  <si>
    <t>Emails que Requieren Revisión</t>
  </si>
  <si>
    <t>Números de Teléfono Faltantes</t>
  </si>
  <si>
    <t>Empresa Faltante</t>
  </si>
  <si>
    <t>Valor Estimado Faltante</t>
  </si>
  <si>
    <t>Estado del Lead Faltante en Datos Finales</t>
  </si>
  <si>
    <t>Fecha de Último Contacto Faltante</t>
  </si>
  <si>
    <t>Registros Finales</t>
  </si>
  <si>
    <t>Tasa de Eliminación de Duplicados</t>
  </si>
  <si>
    <t>4,50 %</t>
  </si>
  <si>
    <t>Emails Faltantes en Datos Finales</t>
  </si>
  <si>
    <t>Reporte de Datos de Clientes y Leads</t>
  </si>
  <si>
    <t>Muestra de Portafolio — Reporte con Datos Sintéticos de Clientes y Leads</t>
  </si>
  <si>
    <t>Total de Registros Limpios</t>
  </si>
  <si>
    <t>Sumario de Calidad de Datos</t>
  </si>
  <si>
    <t>Valor Estimado Total</t>
  </si>
  <si>
    <t>Valor Estimado Promedio</t>
  </si>
  <si>
    <t>Duplicados Removidos</t>
  </si>
  <si>
    <t>Registros sin Valor Estimado</t>
  </si>
  <si>
    <t>Registros Finales Limpios</t>
  </si>
  <si>
    <t>Registros sin Estado del Lead</t>
  </si>
  <si>
    <t>Estado del Lead</t>
  </si>
  <si>
    <t>Cantidad de Registros</t>
  </si>
  <si>
    <t>Fuente de las Leads</t>
  </si>
  <si>
    <t>Número de Registros</t>
  </si>
  <si>
    <t>Servicio de Interés</t>
  </si>
  <si>
    <t>Contactado</t>
  </si>
  <si>
    <t>Agente de Voz con IA</t>
  </si>
  <si>
    <t>Perdido</t>
  </si>
  <si>
    <t>Automatización de Datos</t>
  </si>
  <si>
    <t>Nuevo</t>
  </si>
  <si>
    <t>Procesamiento de Documentos</t>
  </si>
  <si>
    <t>Propuesta</t>
  </si>
  <si>
    <t>Búsqueda Orgánica</t>
  </si>
  <si>
    <t>Agente de Chat Web</t>
  </si>
  <si>
    <t>Propuesta Enviada</t>
  </si>
  <si>
    <t>Referido</t>
  </si>
  <si>
    <t>Automatización de Flujos de Trabajo</t>
  </si>
  <si>
    <t>Calificado</t>
  </si>
  <si>
    <t>Ganado</t>
  </si>
  <si>
    <t>AI Lab Mind —Reporte de Datos de Clientes y Leads</t>
  </si>
  <si>
    <t>Muestra de Portafolio — Datos Sintéticos de Clientes y Leads</t>
  </si>
  <si>
    <t>Sección</t>
  </si>
  <si>
    <t>Contenido</t>
  </si>
  <si>
    <t>Propósito</t>
  </si>
  <si>
    <t>Base de datos sintética de clientes y leads creada como proyecto de portafolio. No contiene datos de clientes reales.</t>
  </si>
  <si>
    <t>Escenario</t>
  </si>
  <si>
    <t>AI Lab Mind exportó registros procedentes de múltiples fuentes. El conjunto de datos incluye problemas de calidad introducidos intencionalmente para realizar el ejercicio de limpieza y validación.</t>
  </si>
  <si>
    <t>Tu tarea</t>
  </si>
  <si>
    <t>Mantener RAW_DATA sin modificaciones, crear un conjunto de datos limpio por separado y documentar cada transformación realizada.</t>
  </si>
  <si>
    <t>Problemas incluidos</t>
  </si>
  <si>
    <t>Duplicados, valores faltantes, inconsistencias en mayúsculas, minúsculas y espacios, variantes de países, estados de leads inconsistentes, emails mal formados o ausentes, diferencias en formatos de teléfono y fechas faltantes.</t>
  </si>
  <si>
    <t>Habilidades objetivo</t>
  </si>
  <si>
    <t>Excel / Google Sheets, detección de duplicados, fórmulas, filtros, ordenamiento, limpieza de datos, consolidación y elaboración de reportes básicos.</t>
  </si>
  <si>
    <t>Regla del portafolio</t>
  </si>
  <si>
    <t>Presentar claramente este trabajo como un proyecto de muestra con datos sintéticos y no como trabajo realizado con datos reales de clientes.</t>
  </si>
  <si>
    <t>Tamaño del conjunto de datos</t>
  </si>
  <si>
    <t>200 registros + encabezado</t>
  </si>
  <si>
    <t>Trabajo realizado</t>
  </si>
  <si>
    <t>Se preservó el conjunto de datos original y se creó una copia de trabajo independiente para realizar la limpieza, validación y seguimiento de auditoría.</t>
  </si>
  <si>
    <t>Gestión de duplicados</t>
  </si>
  <si>
    <t>Se identificaron grupos de emails duplicados, se verificaron manualmente los registros duplicados exactos y se eliminaron 9 copias duplicadas, conservando un registro válido de cada grupo.</t>
  </si>
  <si>
    <t>Validación de emails</t>
  </si>
  <si>
    <t>Se normalizaron las direcciones de email, se validó su formato, se corrigieron automáticamente 4 errores deterministas causados por espacios y se marcaron 4 emails con dominio incompleto para revisión manual, sin asumir información faltante.</t>
  </si>
  <si>
    <t>Estandarización de datos</t>
  </si>
  <si>
    <t>Se estandarizaron los nombres de países y los estados de los leads utilizando formatos consistentes, preservando los datos originales para mantener la trazabilidad.</t>
  </si>
  <si>
    <t>Control de calidad</t>
  </si>
  <si>
    <t>Se identificaron valores faltantes e inválidos, se conservaron para revisión los registros que no podían corregirse con certeza y se utilizaron campos de auditoría para documentar las decisiones de limpieza sin inventar datos faltantes.</t>
  </si>
  <si>
    <t>Entrega final</t>
  </si>
  <si>
    <t>Se entregó un conjunto limpio de 191 registros y un reporte ejecutivo con métricas de calidad de datos, valor estimado del pipeline, estado de los leads, fuente de los leads, servicio de interés y resúmenes visuales.</t>
  </si>
  <si>
    <t>Habilidades demostradas</t>
  </si>
  <si>
    <t>Google Sheets · Limpieza de datos · Validación de datos · Detección de duplicados · Estandarización de datos · BUSCARV / VLOOKUP · QUERY · Elaboración de reportes · Visualización de datos · Trazabilidad de auditoría</t>
  </si>
  <si>
    <t>Resultados clave</t>
  </si>
  <si>
    <t>200 registros originales → 191 registros finales · 9 duplicados exactos eliminados · 4,5 % de reducción por duplicados · 4 emails corregidos automáticamente de forma segura · 4 emails marcados para revisión · $311,450 de valor total estimado del pipeline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</si>
</sst>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$#,##0"/>
    <numFmt numFmtId="165" formatCode="yyyy-mm-dd"/>
  </numFmts>
  <fonts count="14">
    <font>
      <sz val="11.0"/>
      <color rgb="FF000000"/>
      <name val="Carlito"/>
      <scheme val="minor"/>
    </font>
    <font>
      <b/>
      <sz val="11.0"/>
      <color rgb="FFFFFFFF"/>
      <name val="Carlito"/>
    </font>
    <font>
      <color rgb="FFFFFFFF"/>
      <name val="Carlito"/>
      <scheme val="minor"/>
    </font>
    <font>
      <color theme="1"/>
      <name val="Carlito"/>
      <scheme val="minor"/>
    </font>
    <font>
      <b/>
      <sz val="11.0"/>
      <color theme="1"/>
      <name val="Carlito"/>
    </font>
    <font>
      <sz val="11.0"/>
      <color theme="1"/>
      <name val="Carlito"/>
    </font>
    <font>
      <u/>
      <color theme="1"/>
      <name val="Carlito"/>
      <scheme val="minor"/>
    </font>
    <font>
      <b/>
      <sz val="16.0"/>
      <color theme="1"/>
      <name val="Carlito"/>
      <scheme val="minor"/>
    </font>
    <font>
      <b/>
      <i/>
      <sz val="10.0"/>
      <color rgb="FF666666"/>
      <name val="Carlito"/>
      <scheme val="minor"/>
    </font>
    <font>
      <b/>
      <color theme="1"/>
      <name val="Carlito"/>
      <scheme val="minor"/>
    </font>
    <font/>
    <font>
      <b/>
      <sz val="16.0"/>
      <color rgb="FFFFFFFF"/>
      <name val="Carlito"/>
    </font>
    <font>
      <b/>
      <sz val="13.0"/>
      <color theme="1"/>
      <name val="Carlito"/>
      <scheme val="minor"/>
    </font>
    <font>
      <sz val="13.0"/>
      <color theme="1"/>
      <name val="Carlito"/>
      <scheme val="minor"/>
    </font>
  </fonts>
  <fills count="9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1C4587"/>
        <bgColor rgb="FF1C4587"/>
      </patternFill>
    </fill>
    <fill>
      <patternFill patternType="solid">
        <fgColor rgb="FFEFEFEF"/>
        <bgColor rgb="FFEFEFEF"/>
      </patternFill>
    </fill>
    <fill>
      <patternFill patternType="solid">
        <fgColor rgb="FFCFE2F3"/>
        <bgColor rgb="FFCFE2F3"/>
      </patternFill>
    </fill>
    <fill>
      <patternFill patternType="solid">
        <fgColor rgb="FFD9EAF7"/>
        <bgColor rgb="FFD9EAF7"/>
      </patternFill>
    </fill>
    <fill>
      <patternFill patternType="solid">
        <fgColor rgb="FFD9D2E9"/>
        <bgColor rgb="FFD9D2E9"/>
      </patternFill>
    </fill>
    <fill>
      <patternFill patternType="solid">
        <fgColor rgb="FFF3F3F3"/>
        <bgColor rgb="FFF3F3F3"/>
      </patternFill>
    </fill>
  </fills>
  <borders count="8">
    <border/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7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/>
    </xf>
    <xf borderId="0" fillId="2" fontId="1" numFmtId="0" xfId="0" applyAlignment="1" applyFill="1" applyFont="1">
      <alignment horizontal="center" readingOrder="0"/>
    </xf>
    <xf borderId="0" fillId="3" fontId="2" numFmtId="0" xfId="0" applyAlignment="1" applyFill="1" applyFont="1">
      <alignment readingOrder="0"/>
    </xf>
    <xf borderId="0" fillId="0" fontId="3" numFmtId="0" xfId="0" applyFont="1"/>
    <xf borderId="0" fillId="0" fontId="3" numFmtId="0" xfId="0" applyAlignment="1" applyFont="1">
      <alignment horizontal="left" readingOrder="0" shrinkToFit="0" vertical="center" wrapText="0"/>
    </xf>
    <xf borderId="0" fillId="0" fontId="3" numFmtId="0" xfId="0" applyAlignment="1" applyFont="1">
      <alignment horizontal="left" readingOrder="0" shrinkToFit="0" vertical="center" wrapText="0"/>
    </xf>
    <xf borderId="0" fillId="0" fontId="4" numFmtId="0" xfId="0" applyAlignment="1" applyFont="1">
      <alignment horizontal="center" readingOrder="0" shrinkToFit="0" vertical="center" wrapText="0"/>
    </xf>
    <xf borderId="0" fillId="0" fontId="3" numFmtId="0" xfId="0" applyAlignment="1" applyFont="1">
      <alignment shrinkToFit="0" vertical="center" wrapText="0"/>
    </xf>
    <xf borderId="0" fillId="0" fontId="5" numFmtId="164" xfId="0" applyFont="1" applyNumberFormat="1"/>
    <xf borderId="0" fillId="0" fontId="5" numFmtId="165" xfId="0" applyFont="1" applyNumberFormat="1"/>
    <xf borderId="0" fillId="0" fontId="3" numFmtId="0" xfId="0" applyAlignment="1" applyFont="1">
      <alignment readingOrder="0"/>
    </xf>
    <xf borderId="0" fillId="0" fontId="3" numFmtId="0" xfId="0" applyAlignment="1" applyFont="1">
      <alignment shrinkToFit="0" vertical="center" wrapText="0"/>
    </xf>
    <xf borderId="0" fillId="0" fontId="6" numFmtId="0" xfId="0" applyAlignment="1" applyFont="1">
      <alignment readingOrder="0" shrinkToFit="0" vertical="center" wrapText="0"/>
    </xf>
    <xf borderId="0" fillId="0" fontId="3" numFmtId="164" xfId="0" applyAlignment="1" applyFont="1" applyNumberFormat="1">
      <alignment shrinkToFit="0" vertical="center" wrapText="0"/>
    </xf>
    <xf borderId="0" fillId="0" fontId="3" numFmtId="165" xfId="0" applyAlignment="1" applyFont="1" applyNumberFormat="1">
      <alignment shrinkToFit="0" vertical="center" wrapText="0"/>
    </xf>
    <xf borderId="0" fillId="0" fontId="5" numFmtId="164" xfId="0" applyAlignment="1" applyFont="1" applyNumberFormat="1">
      <alignment shrinkToFit="0" vertical="center" wrapText="0"/>
    </xf>
    <xf borderId="0" fillId="0" fontId="5" numFmtId="165" xfId="0" applyAlignment="1" applyFont="1" applyNumberFormat="1">
      <alignment shrinkToFit="0" vertical="center" wrapText="0"/>
    </xf>
    <xf borderId="0" fillId="0" fontId="5" numFmtId="0" xfId="0" applyAlignment="1" applyFont="1">
      <alignment readingOrder="0" vertical="bottom"/>
    </xf>
    <xf borderId="0" fillId="0" fontId="7" numFmtId="0" xfId="0" applyAlignment="1" applyFont="1">
      <alignment horizontal="center" readingOrder="0"/>
    </xf>
    <xf borderId="0" fillId="0" fontId="8" numFmtId="0" xfId="0" applyAlignment="1" applyFont="1">
      <alignment horizontal="center" readingOrder="0"/>
    </xf>
    <xf borderId="0" fillId="0" fontId="9" numFmtId="0" xfId="0" applyAlignment="1" applyFont="1">
      <alignment readingOrder="0"/>
    </xf>
    <xf borderId="1" fillId="4" fontId="9" numFmtId="0" xfId="0" applyAlignment="1" applyBorder="1" applyFill="1" applyFont="1">
      <alignment readingOrder="0"/>
    </xf>
    <xf borderId="2" fillId="4" fontId="9" numFmtId="0" xfId="0" applyBorder="1" applyFill="1" applyFont="1"/>
    <xf borderId="2" fillId="0" fontId="10" numFmtId="0" xfId="0" applyBorder="1" applyFont="1"/>
    <xf borderId="3" fillId="4" fontId="3" numFmtId="0" xfId="0" applyAlignment="1" applyBorder="1" applyFill="1" applyFont="1">
      <alignment readingOrder="0"/>
    </xf>
    <xf borderId="4" fillId="4" fontId="9" numFmtId="164" xfId="0" applyBorder="1" applyFill="1" applyFont="1" applyNumberFormat="1"/>
    <xf borderId="4" fillId="4" fontId="9" numFmtId="0" xfId="0" applyAlignment="1" applyBorder="1" applyFill="1" applyFont="1">
      <alignment readingOrder="0"/>
    </xf>
    <xf borderId="4" fillId="4" fontId="9" numFmtId="0" xfId="0" applyBorder="1" applyFill="1" applyFont="1"/>
    <xf borderId="5" fillId="4" fontId="3" numFmtId="0" xfId="0" applyAlignment="1" applyBorder="1" applyFill="1" applyFont="1">
      <alignment readingOrder="0"/>
    </xf>
    <xf borderId="6" fillId="4" fontId="9" numFmtId="0" xfId="0" applyAlignment="1" applyBorder="1" applyFill="1" applyFont="1">
      <alignment readingOrder="0"/>
    </xf>
    <xf borderId="4" fillId="4" fontId="9" numFmtId="10" xfId="0" applyAlignment="1" applyBorder="1" applyFill="1" applyFont="1" applyNumberFormat="1">
      <alignment readingOrder="0"/>
    </xf>
    <xf borderId="7" fillId="4" fontId="9" numFmtId="0" xfId="0" applyAlignment="1" applyBorder="1" applyFill="1" applyFont="1">
      <alignment readingOrder="0"/>
    </xf>
    <xf borderId="0" fillId="4" fontId="3" numFmtId="0" xfId="0" applyFill="1" applyFont="1"/>
    <xf borderId="0" fillId="4" fontId="3" numFmtId="0" xfId="0" applyAlignment="1" applyFill="1" applyFont="1">
      <alignment horizontal="right"/>
    </xf>
    <xf borderId="0" fillId="2" fontId="11" numFmtId="0" xfId="0" applyAlignment="1" applyFill="1" applyFont="1">
      <alignment horizontal="center"/>
    </xf>
    <xf borderId="0" fillId="0" fontId="4" numFmtId="0" xfId="0" applyAlignment="1" applyFont="1">
      <alignment vertical="top"/>
    </xf>
    <xf borderId="0" fillId="0" fontId="5" numFmtId="0" xfId="0" applyAlignment="1" applyFont="1">
      <alignment shrinkToFit="0" wrapText="1"/>
    </xf>
    <xf borderId="0" fillId="5" fontId="4" numFmtId="0" xfId="0" applyAlignment="1" applyFill="1" applyFont="1">
      <alignment readingOrder="0" vertical="top"/>
    </xf>
    <xf borderId="0" fillId="5" fontId="4" numFmtId="0" xfId="0" applyAlignment="1" applyFill="1" applyFont="1">
      <alignment horizontal="center" readingOrder="0" shrinkToFit="0" wrapText="1"/>
    </xf>
    <xf borderId="0" fillId="6" fontId="4" numFmtId="0" xfId="0" applyAlignment="1" applyFill="1" applyFont="1">
      <alignment vertical="top"/>
    </xf>
    <xf borderId="0" fillId="0" fontId="3" numFmtId="0" xfId="0" applyAlignment="1" applyFont="1">
      <alignment shrinkToFit="0" wrapText="1"/>
    </xf>
    <xf borderId="0" fillId="5" fontId="9" numFmtId="0" xfId="0" applyAlignment="1" applyFill="1" applyFont="1">
      <alignment readingOrder="0"/>
    </xf>
    <xf borderId="0" fillId="5" fontId="3" numFmtId="0" xfId="0" applyAlignment="1" applyFill="1" applyFont="1">
      <alignment readingOrder="0" shrinkToFit="0" wrapText="1"/>
    </xf>
    <xf borderId="0" fillId="0" fontId="3" numFmtId="0" xfId="0" applyAlignment="1" applyFont="1">
      <alignment readingOrder="0" shrinkToFit="0" wrapText="1"/>
    </xf>
    <xf borderId="0" fillId="4" fontId="3" numFmtId="0" xfId="0" applyAlignment="1" applyFill="1" applyFont="1">
      <alignment readingOrder="0"/>
    </xf>
    <xf borderId="0" fillId="4" fontId="3" numFmtId="0" xfId="0" applyAlignment="1" applyFill="1" applyFont="1">
      <alignment readingOrder="0" shrinkToFit="0" wrapText="1"/>
    </xf>
    <xf borderId="0" fillId="4" fontId="9" numFmtId="0" xfId="0" applyAlignment="1" applyFill="1" applyFont="1">
      <alignment readingOrder="0"/>
    </xf>
    <xf borderId="0" fillId="5" fontId="12" numFmtId="0" xfId="0" applyAlignment="1" applyFill="1" applyFont="1">
      <alignment readingOrder="0"/>
    </xf>
    <xf borderId="0" fillId="0" fontId="9" numFmtId="0" xfId="0" applyFont="1"/>
    <xf borderId="0" fillId="0" fontId="3" numFmtId="10" xfId="0" applyFont="1" applyNumberFormat="1"/>
    <xf borderId="0" fillId="0" fontId="4" numFmtId="0" xfId="0" applyAlignment="1" applyFont="1">
      <alignment horizontal="center" readingOrder="0" shrinkToFit="0" vertical="center" wrapText="0"/>
    </xf>
    <xf borderId="0" fillId="0" fontId="3" numFmtId="49" xfId="0" applyAlignment="1" applyFont="1" applyNumberFormat="1">
      <alignment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5" numFmtId="0" xfId="0" applyAlignment="1" applyFont="1">
      <alignment readingOrder="0" shrinkToFit="0" vertical="bottom" wrapText="0"/>
    </xf>
    <xf borderId="0" fillId="5" fontId="12" numFmtId="0" xfId="0" applyAlignment="1" applyFill="1" applyFont="1">
      <alignment horizontal="center" readingOrder="0"/>
    </xf>
    <xf borderId="0" fillId="0" fontId="12" numFmtId="0" xfId="0" applyFont="1"/>
    <xf borderId="0" fillId="0" fontId="13" numFmtId="0" xfId="0" applyFont="1"/>
    <xf borderId="1" fillId="7" fontId="9" numFmtId="0" xfId="0" applyAlignment="1" applyBorder="1" applyFill="1" applyFont="1">
      <alignment readingOrder="0"/>
    </xf>
    <xf borderId="2" fillId="7" fontId="9" numFmtId="0" xfId="0" applyBorder="1" applyFill="1" applyFont="1"/>
    <xf borderId="3" fillId="7" fontId="3" numFmtId="0" xfId="0" applyAlignment="1" applyBorder="1" applyFill="1" applyFont="1">
      <alignment readingOrder="0"/>
    </xf>
    <xf borderId="4" fillId="7" fontId="9" numFmtId="164" xfId="0" applyBorder="1" applyFill="1" applyFont="1" applyNumberFormat="1"/>
    <xf borderId="4" fillId="7" fontId="9" numFmtId="0" xfId="0" applyAlignment="1" applyBorder="1" applyFill="1" applyFont="1">
      <alignment readingOrder="0"/>
    </xf>
    <xf borderId="4" fillId="7" fontId="9" numFmtId="0" xfId="0" applyBorder="1" applyFill="1" applyFont="1"/>
    <xf borderId="5" fillId="7" fontId="3" numFmtId="0" xfId="0" applyAlignment="1" applyBorder="1" applyFill="1" applyFont="1">
      <alignment readingOrder="0"/>
    </xf>
    <xf borderId="6" fillId="7" fontId="9" numFmtId="0" xfId="0" applyAlignment="1" applyBorder="1" applyFill="1" applyFont="1">
      <alignment readingOrder="0"/>
    </xf>
    <xf borderId="4" fillId="7" fontId="9" numFmtId="10" xfId="0" applyAlignment="1" applyBorder="1" applyFill="1" applyFont="1" applyNumberFormat="1">
      <alignment readingOrder="0"/>
    </xf>
    <xf borderId="7" fillId="7" fontId="9" numFmtId="0" xfId="0" applyAlignment="1" applyBorder="1" applyFill="1" applyFont="1">
      <alignment readingOrder="0"/>
    </xf>
    <xf borderId="0" fillId="7" fontId="3" numFmtId="0" xfId="0" applyAlignment="1" applyFill="1" applyFont="1">
      <alignment readingOrder="0"/>
    </xf>
    <xf borderId="0" fillId="7" fontId="3" numFmtId="0" xfId="0" applyAlignment="1" applyFill="1" applyFont="1">
      <alignment horizontal="right"/>
    </xf>
    <xf borderId="0" fillId="7" fontId="3" numFmtId="0" xfId="0" applyFill="1" applyFont="1"/>
    <xf borderId="0" fillId="2" fontId="11" numFmtId="0" xfId="0" applyAlignment="1" applyFill="1" applyFont="1">
      <alignment horizontal="center" readingOrder="0"/>
    </xf>
    <xf borderId="0" fillId="0" fontId="3" numFmtId="0" xfId="0" applyAlignment="1" applyFont="1">
      <alignment horizontal="center" readingOrder="0"/>
    </xf>
    <xf borderId="0" fillId="0" fontId="4" numFmtId="0" xfId="0" applyAlignment="1" applyFont="1">
      <alignment readingOrder="0" vertical="top"/>
    </xf>
    <xf borderId="0" fillId="0" fontId="9" numFmtId="0" xfId="0" applyAlignment="1" applyFont="1">
      <alignment horizontal="center" readingOrder="0"/>
    </xf>
    <xf borderId="0" fillId="0" fontId="9" numFmtId="0" xfId="0" applyAlignment="1" applyFont="1">
      <alignment horizontal="center" readingOrder="0" shrinkToFit="0" wrapText="1"/>
    </xf>
    <xf borderId="0" fillId="5" fontId="3" numFmtId="0" xfId="0" applyAlignment="1" applyFill="1" applyFont="1">
      <alignment readingOrder="0"/>
    </xf>
    <xf borderId="0" fillId="8" fontId="3" numFmtId="0" xfId="0" applyAlignment="1" applyFill="1" applyFont="1">
      <alignment readingOrder="0"/>
    </xf>
    <xf borderId="0" fillId="8" fontId="3" numFmtId="0" xfId="0" applyAlignment="1" applyFill="1" applyFont="1">
      <alignment readingOrder="0" shrinkToFit="0" wrapText="1"/>
    </xf>
  </cellXfs>
  <cellStyles count="1">
    <cellStyle xfId="0" name="Normal" builtinId="0"/>
  </cellStyles>
  <dxfs count="7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FE599"/>
          <bgColor rgb="FFFFE599"/>
        </patternFill>
      </fill>
      <border/>
    </dxf>
  </dxfs>
  <tableStyles count="5">
    <tableStyle count="4" pivot="0" name="RAW_DATA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FINAL_DATA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Datos_Originale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DATOS_LIMPIO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DATOS_FINALE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6" Type="http://schemas.openxmlformats.org/officeDocument/2006/relationships/worksheet" Target="worksheets/sheet12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Lead Status Distribution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col"/>
        <c:grouping val="clustered"/>
        <c:ser>
          <c:idx val="0"/>
          <c:order val="0"/>
          <c:tx>
            <c:strRef>
              <c:f>REPORT!$C$17</c:f>
            </c:strRef>
          </c:tx>
          <c:spPr>
            <a:solidFill>
              <a:schemeClr val="accent1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REPORT!$B$18:$B$24</c:f>
            </c:strRef>
          </c:cat>
          <c:val>
            <c:numRef>
              <c:f>REPORT!$C$18:$C$24</c:f>
              <c:numCache/>
            </c:numRef>
          </c:val>
        </c:ser>
        <c:axId val="691357850"/>
        <c:axId val="1555791411"/>
      </c:bar3DChart>
      <c:catAx>
        <c:axId val="69135785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Lead Status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55791411"/>
      </c:catAx>
      <c:valAx>
        <c:axId val="155579141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Record Count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91357850"/>
      </c:valAx>
    </c:plotArea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Leads by Source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col"/>
        <c:grouping val="clustered"/>
        <c:ser>
          <c:idx val="0"/>
          <c:order val="0"/>
          <c:tx>
            <c:strRef>
              <c:f>REPORT!$F$17</c:f>
            </c:strRef>
          </c:tx>
          <c:spPr>
            <a:solidFill>
              <a:schemeClr val="accent1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REPORT!$E$18:$E$23</c:f>
            </c:strRef>
          </c:cat>
          <c:val>
            <c:numRef>
              <c:f>REPORT!$F$18:$F$23</c:f>
              <c:numCache/>
            </c:numRef>
          </c:val>
        </c:ser>
        <c:axId val="964855676"/>
        <c:axId val="1332729879"/>
      </c:bar3DChart>
      <c:catAx>
        <c:axId val="96485567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Lead Source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32729879"/>
      </c:catAx>
      <c:valAx>
        <c:axId val="133272987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Record Count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64855676"/>
      </c:valAx>
    </c:plotArea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Leads by Service Interest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col"/>
        <c:grouping val="clustered"/>
        <c:ser>
          <c:idx val="0"/>
          <c:order val="0"/>
          <c:tx>
            <c:strRef>
              <c:f>REPORT!$I$17</c:f>
            </c:strRef>
          </c:tx>
          <c:spPr>
            <a:solidFill>
              <a:schemeClr val="accent1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REPORT!$H$18:$H$22</c:f>
            </c:strRef>
          </c:cat>
          <c:val>
            <c:numRef>
              <c:f>REPORT!$I$18:$I$22</c:f>
              <c:numCache/>
            </c:numRef>
          </c:val>
        </c:ser>
        <c:axId val="619428040"/>
        <c:axId val="1645553450"/>
      </c:bar3DChart>
      <c:catAx>
        <c:axId val="61942804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Service Interest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45553450"/>
      </c:catAx>
      <c:valAx>
        <c:axId val="164555345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Record Count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19428040"/>
      </c:valAx>
    </c:plotArea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Distribución por Estado del Lead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col"/>
        <c:grouping val="clustered"/>
        <c:ser>
          <c:idx val="0"/>
          <c:order val="0"/>
          <c:tx>
            <c:strRef>
              <c:f>REPORTE!$C$17</c:f>
            </c:strRef>
          </c:tx>
          <c:spPr>
            <a:solidFill>
              <a:schemeClr val="accent1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REPORTE!$B$18:$B$24</c:f>
            </c:strRef>
          </c:cat>
          <c:val>
            <c:numRef>
              <c:f>REPORTE!$C$18:$C$24</c:f>
              <c:numCache/>
            </c:numRef>
          </c:val>
        </c:ser>
        <c:axId val="324476735"/>
        <c:axId val="2002026039"/>
      </c:bar3DChart>
      <c:catAx>
        <c:axId val="32447673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Lead Status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02026039"/>
      </c:catAx>
      <c:valAx>
        <c:axId val="200202603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Record Count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24476735"/>
      </c:valAx>
    </c:plotArea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Leads por Fuente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col"/>
        <c:grouping val="clustered"/>
        <c:ser>
          <c:idx val="0"/>
          <c:order val="0"/>
          <c:tx>
            <c:strRef>
              <c:f>REPORTE!$F$17</c:f>
            </c:strRef>
          </c:tx>
          <c:spPr>
            <a:solidFill>
              <a:schemeClr val="accent1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REPORTE!$E$18:$E$23</c:f>
            </c:strRef>
          </c:cat>
          <c:val>
            <c:numRef>
              <c:f>REPORTE!$F$18:$F$23</c:f>
              <c:numCache/>
            </c:numRef>
          </c:val>
        </c:ser>
        <c:axId val="1278747385"/>
        <c:axId val="1785943675"/>
      </c:bar3DChart>
      <c:catAx>
        <c:axId val="127874738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Lead Source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85943675"/>
      </c:catAx>
      <c:valAx>
        <c:axId val="178594367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Record Count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78747385"/>
      </c:valAx>
    </c:plotArea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Leads por Servicio de Interés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col"/>
        <c:grouping val="clustered"/>
        <c:ser>
          <c:idx val="0"/>
          <c:order val="0"/>
          <c:tx>
            <c:strRef>
              <c:f>REPORTE!$I$17</c:f>
            </c:strRef>
          </c:tx>
          <c:spPr>
            <a:solidFill>
              <a:schemeClr val="accent1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REPORTE!$H$18:$H$22</c:f>
            </c:strRef>
          </c:cat>
          <c:val>
            <c:numRef>
              <c:f>REPORTE!$I$18:$I$22</c:f>
              <c:numCache/>
            </c:numRef>
          </c:val>
        </c:ser>
        <c:axId val="1805683684"/>
        <c:axId val="1149236965"/>
      </c:bar3DChart>
      <c:catAx>
        <c:axId val="180568368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Service Interest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49236965"/>
      </c:catAx>
      <c:valAx>
        <c:axId val="114923696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Record Count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05683684"/>
      </c:valAx>
    </c:plotArea>
    <c:plotVisOnly val="1"/>
  </c:chart>
</c:chartSpace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Relationship Id="rId2" Type="http://schemas.openxmlformats.org/officeDocument/2006/relationships/chart" Target="../charts/chart5.xml"/><Relationship Id="rId3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238125</xdr:colOff>
      <xdr:row>27</xdr:row>
      <xdr:rowOff>38100</xdr:rowOff>
    </xdr:from>
    <xdr:ext cx="5715000" cy="3533775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5</xdr:col>
      <xdr:colOff>85725</xdr:colOff>
      <xdr:row>27</xdr:row>
      <xdr:rowOff>47625</xdr:rowOff>
    </xdr:from>
    <xdr:ext cx="5715000" cy="3533775"/>
    <xdr:graphicFrame>
      <xdr:nvGraphicFramePr>
        <xdr:cNvPr id="2" name="Chart 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2</xdr:col>
      <xdr:colOff>771525</xdr:colOff>
      <xdr:row>47</xdr:row>
      <xdr:rowOff>114300</xdr:rowOff>
    </xdr:from>
    <xdr:ext cx="5715000" cy="3533775"/>
    <xdr:graphicFrame>
      <xdr:nvGraphicFramePr>
        <xdr:cNvPr id="3" name="Chart 3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238125</xdr:colOff>
      <xdr:row>27</xdr:row>
      <xdr:rowOff>38100</xdr:rowOff>
    </xdr:from>
    <xdr:ext cx="5715000" cy="3533775"/>
    <xdr:graphicFrame>
      <xdr:nvGraphicFramePr>
        <xdr:cNvPr id="4" name="Chart 4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5</xdr:col>
      <xdr:colOff>85725</xdr:colOff>
      <xdr:row>27</xdr:row>
      <xdr:rowOff>47625</xdr:rowOff>
    </xdr:from>
    <xdr:ext cx="5715000" cy="3533775"/>
    <xdr:graphicFrame>
      <xdr:nvGraphicFramePr>
        <xdr:cNvPr id="5" name="Chart 5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2</xdr:col>
      <xdr:colOff>771525</xdr:colOff>
      <xdr:row>47</xdr:row>
      <xdr:rowOff>114300</xdr:rowOff>
    </xdr:from>
    <xdr:ext cx="5715000" cy="3533775"/>
    <xdr:graphicFrame>
      <xdr:nvGraphicFramePr>
        <xdr:cNvPr id="6" name="Chart 6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M201" displayName="Tabla_2" name="Tabla_2" id="1">
  <tableColumns count="13">
    <tableColumn name="Record_ID" id="1"/>
    <tableColumn name="Full_Name" id="2"/>
    <tableColumn name="Email" id="3"/>
    <tableColumn name="Phone" id="4"/>
    <tableColumn name="Company" id="5"/>
    <tableColumn name="Country" id="6"/>
    <tableColumn name="Lead_Source" id="7"/>
    <tableColumn name="Service_Interest" id="8"/>
    <tableColumn name="Lead_Status" id="9"/>
    <tableColumn name="Estimated_Value_USD" id="10"/>
    <tableColumn name="Created_Date" id="11"/>
    <tableColumn name="Last_Contact_Date" id="12"/>
    <tableColumn name="Notes" id="13"/>
  </tableColumns>
  <tableStyleInfo name="RAW_DATA-style" showColumnStripes="0" showFirstColumn="1" showLastColumn="1" showRowStripes="1"/>
</table>
</file>

<file path=xl/tables/table2.xml><?xml version="1.0" encoding="utf-8"?>
<table xmlns="http://schemas.openxmlformats.org/spreadsheetml/2006/main" ref="A1:M192" displayName="Tabla_3" name="Tabla_3" id="2">
  <tableColumns count="13">
    <tableColumn name="Record_ID" id="1"/>
    <tableColumn name="Full_Name" id="2"/>
    <tableColumn name="Email" id="3"/>
    <tableColumn name="Phone" id="4"/>
    <tableColumn name="Company" id="5"/>
    <tableColumn name="Country" id="6"/>
    <tableColumn name="Lead_Source" id="7"/>
    <tableColumn name="Service_Interest" id="8"/>
    <tableColumn name="Lead_Status" id="9"/>
    <tableColumn name="Estimated_Value_USD" id="10"/>
    <tableColumn name="Created_Date" id="11"/>
    <tableColumn name="Last_Contact_Date" id="12"/>
    <tableColumn name="Notes" id="13"/>
  </tableColumns>
  <tableStyleInfo name="FINAL_DATA-style" showColumnStripes="0" showFirstColumn="1" showLastColumn="1" showRowStripes="1"/>
</table>
</file>

<file path=xl/tables/table3.xml><?xml version="1.0" encoding="utf-8"?>
<table xmlns="http://schemas.openxmlformats.org/spreadsheetml/2006/main" ref="A1:M201" displayName="Tabla_1" name="Tabla_1" id="3">
  <tableColumns count="13">
    <tableColumn name="ID_REGISTRO" id="1"/>
    <tableColumn name="Nombre_Completo" id="2"/>
    <tableColumn name="Email" id="3"/>
    <tableColumn name="Teléfono" id="4"/>
    <tableColumn name="Compañía" id="5"/>
    <tableColumn name="País" id="6"/>
    <tableColumn name="Fuente_del_Lead" id="7"/>
    <tableColumn name="Servico_de_Interés" id="8"/>
    <tableColumn name="Estado_del_Lead" id="9"/>
    <tableColumn name="Valor_Estimado_USD" id="10"/>
    <tableColumn name="Fecha_de_Creación" id="11"/>
    <tableColumn name="Fecha_Ultimo_Contacto" id="12"/>
    <tableColumn name="Notas" id="13"/>
  </tableColumns>
  <tableStyleInfo name="Datos_Originales-style" showColumnStripes="0" showFirstColumn="1" showLastColumn="1" showRowStripes="1"/>
</table>
</file>

<file path=xl/tables/table4.xml><?xml version="1.0" encoding="utf-8"?>
<table xmlns="http://schemas.openxmlformats.org/spreadsheetml/2006/main" ref="A1:U201" displayName="Tabla_4" name="Tabla_4" id="4">
  <tableColumns count="21">
    <tableColumn name="ID_REGISTRO" id="1"/>
    <tableColumn name="Nombre_Completo" id="2"/>
    <tableColumn name="Email" id="3"/>
    <tableColumn name="Email_Normalizado" id="4"/>
    <tableColumn name="Acción_Email" id="5"/>
    <tableColumn name="Email_Limpio" id="6"/>
    <tableColumn name="Estado_Duplicado" id="7"/>
    <tableColumn name="Acción_de_Datos" id="8"/>
    <tableColumn name="Calidad_de_Email" id="9"/>
    <tableColumn name="Teléfono" id="10"/>
    <tableColumn name="Compañía" id="11"/>
    <tableColumn name="País" id="12"/>
    <tableColumn name="Normalización_de_País" id="13"/>
    <tableColumn name="Fuente_del_Lead" id="14"/>
    <tableColumn name="Interés_del_Servicio" id="15"/>
    <tableColumn name="Estátus_del_Lead" id="16"/>
    <tableColumn name="Normalización_del_Estatus_del_Lead" id="17"/>
    <tableColumn name="Valor_Estimado_USD" id="18"/>
    <tableColumn name="Fecha_de_Creación" id="19"/>
    <tableColumn name="Fecha_de_Último_Contacto" id="20"/>
    <tableColumn name="Notas" id="21"/>
  </tableColumns>
  <tableStyleInfo name="DATOS_LIMPIOS-style" showColumnStripes="0" showFirstColumn="1" showLastColumn="1" showRowStripes="1"/>
</table>
</file>

<file path=xl/tables/table5.xml><?xml version="1.0" encoding="utf-8"?>
<table xmlns="http://schemas.openxmlformats.org/spreadsheetml/2006/main" ref="A1:M192" displayName="Tabla_5" name="Tabla_5" id="5">
  <tableColumns count="13">
    <tableColumn name="ID_REGISTRO" id="1"/>
    <tableColumn name="Nombre_Completo" id="2"/>
    <tableColumn name="Email" id="3"/>
    <tableColumn name="Teléfono" id="4"/>
    <tableColumn name="Compañía" id="5"/>
    <tableColumn name="País" id="6"/>
    <tableColumn name="Fuente_del_Lead" id="7"/>
    <tableColumn name="Servico_de_Interés" id="8"/>
    <tableColumn name="Estado_del_Lead" id="9"/>
    <tableColumn name="Valor_Estimado_USD" id="10"/>
    <tableColumn name="Fecha_de_Creación" id="11"/>
    <tableColumn name="Fecha_Ultimo_Contacto" id="12"/>
    <tableColumn name="Notas" id="13"/>
  </tableColumns>
  <tableStyleInfo name="DATOS_FINALE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mailto:carolina.flores80@mail.com" TargetMode="External"/><Relationship Id="rId42" Type="http://schemas.openxmlformats.org/officeDocument/2006/relationships/hyperlink" Target="mailto:maria.ortiz54@outlook.com" TargetMode="External"/><Relationship Id="rId41" Type="http://schemas.openxmlformats.org/officeDocument/2006/relationships/hyperlink" Target="mailto:sofia.morales41@gmail.com" TargetMode="External"/><Relationship Id="rId44" Type="http://schemas.openxmlformats.org/officeDocument/2006/relationships/hyperlink" Target="mailto:camila.diaz36@mail.com" TargetMode="External"/><Relationship Id="rId43" Type="http://schemas.openxmlformats.org/officeDocument/2006/relationships/hyperlink" Target="mailto:natalia.sanchez62@company.com" TargetMode="External"/><Relationship Id="rId46" Type="http://schemas.openxmlformats.org/officeDocument/2006/relationships/hyperlink" Target="mailto:luis.flores7@company.com" TargetMode="External"/><Relationship Id="rId45" Type="http://schemas.openxmlformats.org/officeDocument/2006/relationships/hyperlink" Target="mailto:sofia.vargas36@mail.com" TargetMode="External"/><Relationship Id="rId107" Type="http://schemas.openxmlformats.org/officeDocument/2006/relationships/hyperlink" Target="mailto:david.flores57@outlook.com" TargetMode="External"/><Relationship Id="rId106" Type="http://schemas.openxmlformats.org/officeDocument/2006/relationships/hyperlink" Target="mailto:alejandro.morales37@company.com" TargetMode="External"/><Relationship Id="rId105" Type="http://schemas.openxmlformats.org/officeDocument/2006/relationships/hyperlink" Target="mailto:jose.gomez79@mail.com" TargetMode="External"/><Relationship Id="rId104" Type="http://schemas.openxmlformats.org/officeDocument/2006/relationships/hyperlink" Target="mailto:miguel.ramirez23@mail.com" TargetMode="External"/><Relationship Id="rId109" Type="http://schemas.openxmlformats.org/officeDocument/2006/relationships/hyperlink" Target="mailto:carolina.rivera48@mail.com" TargetMode="External"/><Relationship Id="rId108" Type="http://schemas.openxmlformats.org/officeDocument/2006/relationships/hyperlink" Target="mailto:paula.lopez23@gmail.com" TargetMode="External"/><Relationship Id="rId48" Type="http://schemas.openxmlformats.org/officeDocument/2006/relationships/hyperlink" Target="mailto:lucia.garcia2@outlook.com" TargetMode="External"/><Relationship Id="rId47" Type="http://schemas.openxmlformats.org/officeDocument/2006/relationships/hyperlink" Target="mailto:VALERIA.ROMERO51@MAIL.COM" TargetMode="External"/><Relationship Id="rId186" Type="http://schemas.openxmlformats.org/officeDocument/2006/relationships/drawing" Target="../drawings/drawing1.xml"/><Relationship Id="rId185" Type="http://schemas.openxmlformats.org/officeDocument/2006/relationships/hyperlink" Target="mailto:camila.torres47@company.com" TargetMode="External"/><Relationship Id="rId49" Type="http://schemas.openxmlformats.org/officeDocument/2006/relationships/hyperlink" Target="mailto:maria.sanchez18@outlook.com" TargetMode="External"/><Relationship Id="rId184" Type="http://schemas.openxmlformats.org/officeDocument/2006/relationships/hyperlink" Target="mailto:paula.diaz25@outlook.com" TargetMode="External"/><Relationship Id="rId103" Type="http://schemas.openxmlformats.org/officeDocument/2006/relationships/hyperlink" Target="mailto:ana.hernandez93@outlook.com" TargetMode="External"/><Relationship Id="rId102" Type="http://schemas.openxmlformats.org/officeDocument/2006/relationships/hyperlink" Target="mailto:miguel.castro98@mail.com" TargetMode="External"/><Relationship Id="rId101" Type="http://schemas.openxmlformats.org/officeDocument/2006/relationships/hyperlink" Target="mailto:manuel.castro90@company.com" TargetMode="External"/><Relationship Id="rId100" Type="http://schemas.openxmlformats.org/officeDocument/2006/relationships/hyperlink" Target="mailto:valeria.garcia11@outlook.com" TargetMode="External"/><Relationship Id="rId188" Type="http://schemas.openxmlformats.org/officeDocument/2006/relationships/table" Target="../tables/table1.xml"/><Relationship Id="rId31" Type="http://schemas.openxmlformats.org/officeDocument/2006/relationships/hyperlink" Target="mailto:diego.navarro64@mail.com" TargetMode="External"/><Relationship Id="rId30" Type="http://schemas.openxmlformats.org/officeDocument/2006/relationships/hyperlink" Target="mailto:raul.rodriguez57@gmail.com" TargetMode="External"/><Relationship Id="rId33" Type="http://schemas.openxmlformats.org/officeDocument/2006/relationships/hyperlink" Target="mailto:manuel.morales27@gmail.com" TargetMode="External"/><Relationship Id="rId183" Type="http://schemas.openxmlformats.org/officeDocument/2006/relationships/hyperlink" Target="mailto:VALERIA.ROMERO51@MAIL.COM" TargetMode="External"/><Relationship Id="rId32" Type="http://schemas.openxmlformats.org/officeDocument/2006/relationships/hyperlink" Target="mailto:andres.sanchez74@outlook.com" TargetMode="External"/><Relationship Id="rId182" Type="http://schemas.openxmlformats.org/officeDocument/2006/relationships/hyperlink" Target="mailto:jose.gomez22@gmail.com" TargetMode="External"/><Relationship Id="rId35" Type="http://schemas.openxmlformats.org/officeDocument/2006/relationships/hyperlink" Target="mailto:patricia.diaz43@company.com" TargetMode="External"/><Relationship Id="rId181" Type="http://schemas.openxmlformats.org/officeDocument/2006/relationships/hyperlink" Target="mailto:PATRICIA.MARTINEZ26@GMAIL.COM" TargetMode="External"/><Relationship Id="rId34" Type="http://schemas.openxmlformats.org/officeDocument/2006/relationships/hyperlink" Target="mailto:alejandro.sanchez42@mail.com" TargetMode="External"/><Relationship Id="rId180" Type="http://schemas.openxmlformats.org/officeDocument/2006/relationships/hyperlink" Target="mailto:valeria.rivera98@outlook.com" TargetMode="External"/><Relationship Id="rId37" Type="http://schemas.openxmlformats.org/officeDocument/2006/relationships/hyperlink" Target="mailto:fernando.romero63@gmail.com" TargetMode="External"/><Relationship Id="rId176" Type="http://schemas.openxmlformats.org/officeDocument/2006/relationships/hyperlink" Target="mailto:lucia.rodriguez52@company.com" TargetMode="External"/><Relationship Id="rId36" Type="http://schemas.openxmlformats.org/officeDocument/2006/relationships/hyperlink" Target="mailto:david.torres10@company.com" TargetMode="External"/><Relationship Id="rId175" Type="http://schemas.openxmlformats.org/officeDocument/2006/relationships/hyperlink" Target="mailto:miguel.martinez42@mail.com" TargetMode="External"/><Relationship Id="rId39" Type="http://schemas.openxmlformats.org/officeDocument/2006/relationships/hyperlink" Target="mailto:isabel.ortiz36@mail.com" TargetMode="External"/><Relationship Id="rId174" Type="http://schemas.openxmlformats.org/officeDocument/2006/relationships/hyperlink" Target="mailto:elena.diaz46@gmail.com" TargetMode="External"/><Relationship Id="rId38" Type="http://schemas.openxmlformats.org/officeDocument/2006/relationships/hyperlink" Target="mailto:fernando.rivera80@company.com" TargetMode="External"/><Relationship Id="rId173" Type="http://schemas.openxmlformats.org/officeDocument/2006/relationships/hyperlink" Target="mailto:raul.perez66@mail.com" TargetMode="External"/><Relationship Id="rId179" Type="http://schemas.openxmlformats.org/officeDocument/2006/relationships/hyperlink" Target="mailto:sergio.gomez90@outlook.com" TargetMode="External"/><Relationship Id="rId178" Type="http://schemas.openxmlformats.org/officeDocument/2006/relationships/hyperlink" Target="mailto:CARLOS.PEREZ33@GMAIL.COM" TargetMode="External"/><Relationship Id="rId177" Type="http://schemas.openxmlformats.org/officeDocument/2006/relationships/hyperlink" Target="mailto:camila.gonzalez86@mail.com" TargetMode="External"/><Relationship Id="rId20" Type="http://schemas.openxmlformats.org/officeDocument/2006/relationships/hyperlink" Target="mailto:natalia.diaz38@mail.com" TargetMode="External"/><Relationship Id="rId22" Type="http://schemas.openxmlformats.org/officeDocument/2006/relationships/hyperlink" Target="mailto:sergio.gomez90@outlook.com" TargetMode="External"/><Relationship Id="rId21" Type="http://schemas.openxmlformats.org/officeDocument/2006/relationships/hyperlink" Target="mailto:daniel.flores94@outlook.com" TargetMode="External"/><Relationship Id="rId24" Type="http://schemas.openxmlformats.org/officeDocument/2006/relationships/hyperlink" Target="mailto:sergio.hernandez12@outlook.com" TargetMode="External"/><Relationship Id="rId23" Type="http://schemas.openxmlformats.org/officeDocument/2006/relationships/hyperlink" Target="mailto:raul.hernandez69@company.com" TargetMode="External"/><Relationship Id="rId129" Type="http://schemas.openxmlformats.org/officeDocument/2006/relationships/hyperlink" Target="mailto:raul.sanchez96@outlook.com" TargetMode="External"/><Relationship Id="rId128" Type="http://schemas.openxmlformats.org/officeDocument/2006/relationships/hyperlink" Target="mailto:luis.flores57@company.com" TargetMode="External"/><Relationship Id="rId127" Type="http://schemas.openxmlformats.org/officeDocument/2006/relationships/hyperlink" Target="mailto:patricia.diaz3@mail.com" TargetMode="External"/><Relationship Id="rId126" Type="http://schemas.openxmlformats.org/officeDocument/2006/relationships/hyperlink" Target="mailto:jose.martinez32@outlook.com" TargetMode="External"/><Relationship Id="rId26" Type="http://schemas.openxmlformats.org/officeDocument/2006/relationships/hyperlink" Target="mailto:diego.garcia78@gmail.com" TargetMode="External"/><Relationship Id="rId121" Type="http://schemas.openxmlformats.org/officeDocument/2006/relationships/hyperlink" Target="mailto:sofia.diaz89@mail.com" TargetMode="External"/><Relationship Id="rId25" Type="http://schemas.openxmlformats.org/officeDocument/2006/relationships/hyperlink" Target="mailto:paula.diaz76@mail.com" TargetMode="External"/><Relationship Id="rId120" Type="http://schemas.openxmlformats.org/officeDocument/2006/relationships/hyperlink" Target="mailto:sofia.lopez20@gmail.com" TargetMode="External"/><Relationship Id="rId28" Type="http://schemas.openxmlformats.org/officeDocument/2006/relationships/hyperlink" Target="mailto:alejandro.torres56@company.com" TargetMode="External"/><Relationship Id="rId27" Type="http://schemas.openxmlformats.org/officeDocument/2006/relationships/hyperlink" Target="mailto:fernando.morales39@company.com" TargetMode="External"/><Relationship Id="rId125" Type="http://schemas.openxmlformats.org/officeDocument/2006/relationships/hyperlink" Target="mailto:david.sanchez3@company.com" TargetMode="External"/><Relationship Id="rId29" Type="http://schemas.openxmlformats.org/officeDocument/2006/relationships/hyperlink" Target="mailto:alejandro.ramirez44@company.com" TargetMode="External"/><Relationship Id="rId124" Type="http://schemas.openxmlformats.org/officeDocument/2006/relationships/hyperlink" Target="mailto:manuel.rivera5@company.com" TargetMode="External"/><Relationship Id="rId123" Type="http://schemas.openxmlformats.org/officeDocument/2006/relationships/hyperlink" Target="mailto:paula.flores21@mail.com" TargetMode="External"/><Relationship Id="rId122" Type="http://schemas.openxmlformats.org/officeDocument/2006/relationships/hyperlink" Target="mailto:maria.ortiz31@gmail.com" TargetMode="External"/><Relationship Id="rId95" Type="http://schemas.openxmlformats.org/officeDocument/2006/relationships/hyperlink" Target="mailto:david.navarro78@company.com" TargetMode="External"/><Relationship Id="rId94" Type="http://schemas.openxmlformats.org/officeDocument/2006/relationships/hyperlink" Target="mailto:jose.gomez22@gmail.com" TargetMode="External"/><Relationship Id="rId97" Type="http://schemas.openxmlformats.org/officeDocument/2006/relationships/hyperlink" Target="mailto:patricia.vargas46@mail.com" TargetMode="External"/><Relationship Id="rId96" Type="http://schemas.openxmlformats.org/officeDocument/2006/relationships/hyperlink" Target="mailto:fernando.diaz28@gmail.com" TargetMode="External"/><Relationship Id="rId11" Type="http://schemas.openxmlformats.org/officeDocument/2006/relationships/hyperlink" Target="mailto:patricia.perez5@outlook.com" TargetMode="External"/><Relationship Id="rId99" Type="http://schemas.openxmlformats.org/officeDocument/2006/relationships/hyperlink" Target="mailto:valeria.castro17@gmail.com" TargetMode="External"/><Relationship Id="rId10" Type="http://schemas.openxmlformats.org/officeDocument/2006/relationships/hyperlink" Target="mailto:manuel.lopez9@outlook.com" TargetMode="External"/><Relationship Id="rId98" Type="http://schemas.openxmlformats.org/officeDocument/2006/relationships/hyperlink" Target="mailto:ana.lopez5@mail.com" TargetMode="External"/><Relationship Id="rId13" Type="http://schemas.openxmlformats.org/officeDocument/2006/relationships/hyperlink" Target="mailto:natalia.ortiz66@gmail.com" TargetMode="External"/><Relationship Id="rId12" Type="http://schemas.openxmlformats.org/officeDocument/2006/relationships/hyperlink" Target="mailto:andres.martinez22@mail.com" TargetMode="External"/><Relationship Id="rId91" Type="http://schemas.openxmlformats.org/officeDocument/2006/relationships/hyperlink" Target="mailto:sergio.gomez44@mail.com" TargetMode="External"/><Relationship Id="rId90" Type="http://schemas.openxmlformats.org/officeDocument/2006/relationships/hyperlink" Target="mailto:carolina.garcia98@mail.com" TargetMode="External"/><Relationship Id="rId93" Type="http://schemas.openxmlformats.org/officeDocument/2006/relationships/hyperlink" Target="mailto:carolina.navarro58@gmail.com" TargetMode="External"/><Relationship Id="rId92" Type="http://schemas.openxmlformats.org/officeDocument/2006/relationships/hyperlink" Target="mailto:sergio.navarro85@gmail.com" TargetMode="External"/><Relationship Id="rId118" Type="http://schemas.openxmlformats.org/officeDocument/2006/relationships/hyperlink" Target="mailto:david.gonzalez67@outlook.com" TargetMode="External"/><Relationship Id="rId117" Type="http://schemas.openxmlformats.org/officeDocument/2006/relationships/hyperlink" Target="mailto:daniel.diaz37@outlook.com" TargetMode="External"/><Relationship Id="rId116" Type="http://schemas.openxmlformats.org/officeDocument/2006/relationships/hyperlink" Target="mailto:daniel.gomez70@outlook.com" TargetMode="External"/><Relationship Id="rId115" Type="http://schemas.openxmlformats.org/officeDocument/2006/relationships/hyperlink" Target="mailto:lucia.diaz1@company.com" TargetMode="External"/><Relationship Id="rId119" Type="http://schemas.openxmlformats.org/officeDocument/2006/relationships/hyperlink" Target="mailto:diego.hernandez61@gmail.com" TargetMode="External"/><Relationship Id="rId15" Type="http://schemas.openxmlformats.org/officeDocument/2006/relationships/hyperlink" Target="mailto:sergio.ortiz49@company.com" TargetMode="External"/><Relationship Id="rId110" Type="http://schemas.openxmlformats.org/officeDocument/2006/relationships/hyperlink" Target="mailto:andres.gonzalez89@gmail.com" TargetMode="External"/><Relationship Id="rId14" Type="http://schemas.openxmlformats.org/officeDocument/2006/relationships/hyperlink" Target="mailto:camila.torres47@company.com" TargetMode="External"/><Relationship Id="rId17" Type="http://schemas.openxmlformats.org/officeDocument/2006/relationships/hyperlink" Target="mailto:javier.martinez59@mail.com" TargetMode="External"/><Relationship Id="rId16" Type="http://schemas.openxmlformats.org/officeDocument/2006/relationships/hyperlink" Target="mailto:javier.diaz69@gmail.com" TargetMode="External"/><Relationship Id="rId19" Type="http://schemas.openxmlformats.org/officeDocument/2006/relationships/hyperlink" Target="mailto:luis.rodriguez98@gmail.com" TargetMode="External"/><Relationship Id="rId114" Type="http://schemas.openxmlformats.org/officeDocument/2006/relationships/hyperlink" Target="mailto:lucia.vargas98@gmail.com" TargetMode="External"/><Relationship Id="rId18" Type="http://schemas.openxmlformats.org/officeDocument/2006/relationships/hyperlink" Target="mailto:isabel.gomez32@mail.com" TargetMode="External"/><Relationship Id="rId113" Type="http://schemas.openxmlformats.org/officeDocument/2006/relationships/hyperlink" Target="mailto:luis.hernandez26@mail.com" TargetMode="External"/><Relationship Id="rId112" Type="http://schemas.openxmlformats.org/officeDocument/2006/relationships/hyperlink" Target="mailto:raul.vargas51@gmail.com" TargetMode="External"/><Relationship Id="rId111" Type="http://schemas.openxmlformats.org/officeDocument/2006/relationships/hyperlink" Target="mailto:manuel.vargas39@mail.com" TargetMode="External"/><Relationship Id="rId84" Type="http://schemas.openxmlformats.org/officeDocument/2006/relationships/hyperlink" Target="mailto:ana.flores62@gmail.com" TargetMode="External"/><Relationship Id="rId83" Type="http://schemas.openxmlformats.org/officeDocument/2006/relationships/hyperlink" Target="mailto:laura.rivera45@gmail.com" TargetMode="External"/><Relationship Id="rId86" Type="http://schemas.openxmlformats.org/officeDocument/2006/relationships/hyperlink" Target="mailto:patricia.rodriguez74@mail.com" TargetMode="External"/><Relationship Id="rId85" Type="http://schemas.openxmlformats.org/officeDocument/2006/relationships/hyperlink" Target="mailto:valeria.castro40@mail.com" TargetMode="External"/><Relationship Id="rId88" Type="http://schemas.openxmlformats.org/officeDocument/2006/relationships/hyperlink" Target="mailto:luis.morales55@company.com" TargetMode="External"/><Relationship Id="rId150" Type="http://schemas.openxmlformats.org/officeDocument/2006/relationships/hyperlink" Target="mailto:manuel.martinez2@gmail.com" TargetMode="External"/><Relationship Id="rId87" Type="http://schemas.openxmlformats.org/officeDocument/2006/relationships/hyperlink" Target="mailto:luis.gonzalez69@gmail.com" TargetMode="External"/><Relationship Id="rId89" Type="http://schemas.openxmlformats.org/officeDocument/2006/relationships/hyperlink" Target="mailto:david.gonzalez31@gmail.com" TargetMode="External"/><Relationship Id="rId80" Type="http://schemas.openxmlformats.org/officeDocument/2006/relationships/hyperlink" Target="mailto:ana.garcia24@mail.com" TargetMode="External"/><Relationship Id="rId82" Type="http://schemas.openxmlformats.org/officeDocument/2006/relationships/hyperlink" Target="mailto:isabel.gonzalez3@company.com" TargetMode="External"/><Relationship Id="rId81" Type="http://schemas.openxmlformats.org/officeDocument/2006/relationships/hyperlink" Target="mailto:laura.gomez3@company.com" TargetMode="External"/><Relationship Id="rId1" Type="http://schemas.openxmlformats.org/officeDocument/2006/relationships/hyperlink" Target="mailto:alejandro.navarro94@company.com" TargetMode="External"/><Relationship Id="rId2" Type="http://schemas.openxmlformats.org/officeDocument/2006/relationships/hyperlink" Target="mailto:valeria.rivera98@outlook.com" TargetMode="External"/><Relationship Id="rId3" Type="http://schemas.openxmlformats.org/officeDocument/2006/relationships/hyperlink" Target="mailto:carlos.navarro11@mail.com" TargetMode="External"/><Relationship Id="rId149" Type="http://schemas.openxmlformats.org/officeDocument/2006/relationships/hyperlink" Target="mailto:daniel.ramirez25@outlook.com" TargetMode="External"/><Relationship Id="rId4" Type="http://schemas.openxmlformats.org/officeDocument/2006/relationships/hyperlink" Target="mailto:maria.gonzalez3@outlook.com" TargetMode="External"/><Relationship Id="rId148" Type="http://schemas.openxmlformats.org/officeDocument/2006/relationships/hyperlink" Target="mailto:laura.torres19@gmail.com" TargetMode="External"/><Relationship Id="rId9" Type="http://schemas.openxmlformats.org/officeDocument/2006/relationships/hyperlink" Target="mailto:miguel.rodriguez72@outlook.com" TargetMode="External"/><Relationship Id="rId143" Type="http://schemas.openxmlformats.org/officeDocument/2006/relationships/hyperlink" Target="mailto:andres.romero91@gmail.com" TargetMode="External"/><Relationship Id="rId142" Type="http://schemas.openxmlformats.org/officeDocument/2006/relationships/hyperlink" Target="mailto:paula.flores40@gmail.com" TargetMode="External"/><Relationship Id="rId141" Type="http://schemas.openxmlformats.org/officeDocument/2006/relationships/hyperlink" Target="mailto:jose.castro34@gmail.com" TargetMode="External"/><Relationship Id="rId140" Type="http://schemas.openxmlformats.org/officeDocument/2006/relationships/hyperlink" Target="mailto:gabriela.ramirez34@outlook.com" TargetMode="External"/><Relationship Id="rId5" Type="http://schemas.openxmlformats.org/officeDocument/2006/relationships/hyperlink" Target="mailto:carolina.navarro41@gmail.com" TargetMode="External"/><Relationship Id="rId147" Type="http://schemas.openxmlformats.org/officeDocument/2006/relationships/hyperlink" Target="mailto:manuel.gomez96@mail.com" TargetMode="External"/><Relationship Id="rId6" Type="http://schemas.openxmlformats.org/officeDocument/2006/relationships/hyperlink" Target="mailto:paula.diaz25@outlook.com" TargetMode="External"/><Relationship Id="rId146" Type="http://schemas.openxmlformats.org/officeDocument/2006/relationships/hyperlink" Target="mailto:david.romero42@gmail.com" TargetMode="External"/><Relationship Id="rId7" Type="http://schemas.openxmlformats.org/officeDocument/2006/relationships/hyperlink" Target="mailto:maria.rivera61@outlook.com" TargetMode="External"/><Relationship Id="rId145" Type="http://schemas.openxmlformats.org/officeDocument/2006/relationships/hyperlink" Target="mailto:laura.rivera43@company.com" TargetMode="External"/><Relationship Id="rId8" Type="http://schemas.openxmlformats.org/officeDocument/2006/relationships/hyperlink" Target="mailto:patricia.martinez26@gmail.com" TargetMode="External"/><Relationship Id="rId144" Type="http://schemas.openxmlformats.org/officeDocument/2006/relationships/hyperlink" Target="mailto:LUIS.FLORES66@GMAIL.COM" TargetMode="External"/><Relationship Id="rId73" Type="http://schemas.openxmlformats.org/officeDocument/2006/relationships/hyperlink" Target="mailto:isabel.rivera15@outlook.com" TargetMode="External"/><Relationship Id="rId72" Type="http://schemas.openxmlformats.org/officeDocument/2006/relationships/hyperlink" Target="mailto:marta.rivera75@outlook.com" TargetMode="External"/><Relationship Id="rId75" Type="http://schemas.openxmlformats.org/officeDocument/2006/relationships/hyperlink" Target="mailto:manuel.rodriguez68@gmail.com" TargetMode="External"/><Relationship Id="rId74" Type="http://schemas.openxmlformats.org/officeDocument/2006/relationships/hyperlink" Target="mailto:sergio.garcia86@outlook.com" TargetMode="External"/><Relationship Id="rId77" Type="http://schemas.openxmlformats.org/officeDocument/2006/relationships/hyperlink" Target="mailto:isabel.gomez42@mail.com" TargetMode="External"/><Relationship Id="rId76" Type="http://schemas.openxmlformats.org/officeDocument/2006/relationships/hyperlink" Target="mailto:david.rodriguez27@company.com" TargetMode="External"/><Relationship Id="rId79" Type="http://schemas.openxmlformats.org/officeDocument/2006/relationships/hyperlink" Target="mailto:luis.morales26@gmail.com" TargetMode="External"/><Relationship Id="rId78" Type="http://schemas.openxmlformats.org/officeDocument/2006/relationships/hyperlink" Target="mailto:daniel.diaz68@gmail.com" TargetMode="External"/><Relationship Id="rId71" Type="http://schemas.openxmlformats.org/officeDocument/2006/relationships/hyperlink" Target="mailto:fernando.ramirez67@company.com" TargetMode="External"/><Relationship Id="rId70" Type="http://schemas.openxmlformats.org/officeDocument/2006/relationships/hyperlink" Target="mailto:carolina.ortiz69@gmail.com" TargetMode="External"/><Relationship Id="rId139" Type="http://schemas.openxmlformats.org/officeDocument/2006/relationships/hyperlink" Target="mailto:fernando.ramirez1@gmail.com" TargetMode="External"/><Relationship Id="rId138" Type="http://schemas.openxmlformats.org/officeDocument/2006/relationships/hyperlink" Target="mailto:lucia.flores76@company.com" TargetMode="External"/><Relationship Id="rId137" Type="http://schemas.openxmlformats.org/officeDocument/2006/relationships/hyperlink" Target="mailto:ricardo.torres8@gmail.com" TargetMode="External"/><Relationship Id="rId132" Type="http://schemas.openxmlformats.org/officeDocument/2006/relationships/hyperlink" Target="mailto:carlos.morales7@company.com" TargetMode="External"/><Relationship Id="rId131" Type="http://schemas.openxmlformats.org/officeDocument/2006/relationships/hyperlink" Target="mailto:andres.sanchez5@gmail.com" TargetMode="External"/><Relationship Id="rId130" Type="http://schemas.openxmlformats.org/officeDocument/2006/relationships/hyperlink" Target="mailto:paula.castro12@company.com" TargetMode="External"/><Relationship Id="rId136" Type="http://schemas.openxmlformats.org/officeDocument/2006/relationships/hyperlink" Target="mailto:paula.lopez87@outlook.com" TargetMode="External"/><Relationship Id="rId135" Type="http://schemas.openxmlformats.org/officeDocument/2006/relationships/hyperlink" Target="mailto:fernando.flores76@company.com" TargetMode="External"/><Relationship Id="rId134" Type="http://schemas.openxmlformats.org/officeDocument/2006/relationships/hyperlink" Target="mailto:lucia.ortiz70@company.com" TargetMode="External"/><Relationship Id="rId133" Type="http://schemas.openxmlformats.org/officeDocument/2006/relationships/hyperlink" Target="mailto:maria.morales26@outlook.com" TargetMode="External"/><Relationship Id="rId62" Type="http://schemas.openxmlformats.org/officeDocument/2006/relationships/hyperlink" Target="mailto:elena.torres41@mail.com" TargetMode="External"/><Relationship Id="rId61" Type="http://schemas.openxmlformats.org/officeDocument/2006/relationships/hyperlink" Target="mailto:carlos.lopez95@outlook.com" TargetMode="External"/><Relationship Id="rId64" Type="http://schemas.openxmlformats.org/officeDocument/2006/relationships/hyperlink" Target="mailto:elena.vargas90@company.com" TargetMode="External"/><Relationship Id="rId63" Type="http://schemas.openxmlformats.org/officeDocument/2006/relationships/hyperlink" Target="mailto:camila.hernandez7@gmail.com" TargetMode="External"/><Relationship Id="rId66" Type="http://schemas.openxmlformats.org/officeDocument/2006/relationships/hyperlink" Target="mailto:laura.martinez8@company.com" TargetMode="External"/><Relationship Id="rId172" Type="http://schemas.openxmlformats.org/officeDocument/2006/relationships/hyperlink" Target="mailto:lucia.castro29@gmail.com" TargetMode="External"/><Relationship Id="rId65" Type="http://schemas.openxmlformats.org/officeDocument/2006/relationships/hyperlink" Target="mailto:andres.gomez55@mail.com" TargetMode="External"/><Relationship Id="rId171" Type="http://schemas.openxmlformats.org/officeDocument/2006/relationships/hyperlink" Target="mailto:diego.castro2@outlook.com" TargetMode="External"/><Relationship Id="rId68" Type="http://schemas.openxmlformats.org/officeDocument/2006/relationships/hyperlink" Target="mailto:camila.gonzalez86@mail.com" TargetMode="External"/><Relationship Id="rId170" Type="http://schemas.openxmlformats.org/officeDocument/2006/relationships/hyperlink" Target="mailto:david.vargas77@company.com" TargetMode="External"/><Relationship Id="rId67" Type="http://schemas.openxmlformats.org/officeDocument/2006/relationships/hyperlink" Target="mailto:david.ortiz26@mail.com" TargetMode="External"/><Relationship Id="rId60" Type="http://schemas.openxmlformats.org/officeDocument/2006/relationships/hyperlink" Target="mailto:isabel.hernandez64@outlook.com" TargetMode="External"/><Relationship Id="rId165" Type="http://schemas.openxmlformats.org/officeDocument/2006/relationships/hyperlink" Target="mailto:sergio.sanchez42@gmail.com" TargetMode="External"/><Relationship Id="rId69" Type="http://schemas.openxmlformats.org/officeDocument/2006/relationships/hyperlink" Target="mailto:ricardo.lopez5@mail.com" TargetMode="External"/><Relationship Id="rId164" Type="http://schemas.openxmlformats.org/officeDocument/2006/relationships/hyperlink" Target="mailto:patricia.diaz44@mail.com" TargetMode="External"/><Relationship Id="rId163" Type="http://schemas.openxmlformats.org/officeDocument/2006/relationships/hyperlink" Target="mailto:isabel.ortiz35@gmail.com" TargetMode="External"/><Relationship Id="rId162" Type="http://schemas.openxmlformats.org/officeDocument/2006/relationships/hyperlink" Target="mailto:carlos.hernandez52@outlook.com" TargetMode="External"/><Relationship Id="rId169" Type="http://schemas.openxmlformats.org/officeDocument/2006/relationships/hyperlink" Target="mailto:javier.vargas25@gmail.com" TargetMode="External"/><Relationship Id="rId168" Type="http://schemas.openxmlformats.org/officeDocument/2006/relationships/hyperlink" Target="mailto:luis.romero32@mail.com" TargetMode="External"/><Relationship Id="rId167" Type="http://schemas.openxmlformats.org/officeDocument/2006/relationships/hyperlink" Target="mailto:isabel.torres94@mail.com" TargetMode="External"/><Relationship Id="rId166" Type="http://schemas.openxmlformats.org/officeDocument/2006/relationships/hyperlink" Target="mailto:paula.garcia31@outlook.com" TargetMode="External"/><Relationship Id="rId51" Type="http://schemas.openxmlformats.org/officeDocument/2006/relationships/hyperlink" Target="mailto:natalia.rodriguez44@mail.com" TargetMode="External"/><Relationship Id="rId50" Type="http://schemas.openxmlformats.org/officeDocument/2006/relationships/hyperlink" Target="mailto:patricia.rodriguez52@outlook.com" TargetMode="External"/><Relationship Id="rId53" Type="http://schemas.openxmlformats.org/officeDocument/2006/relationships/hyperlink" Target="mailto:ricardo.morales60@mail.com" TargetMode="External"/><Relationship Id="rId52" Type="http://schemas.openxmlformats.org/officeDocument/2006/relationships/hyperlink" Target="mailto:maria.rodriguez23@gmail.com" TargetMode="External"/><Relationship Id="rId55" Type="http://schemas.openxmlformats.org/officeDocument/2006/relationships/hyperlink" Target="mailto:patricia.castro89@mail.com" TargetMode="External"/><Relationship Id="rId161" Type="http://schemas.openxmlformats.org/officeDocument/2006/relationships/hyperlink" Target="mailto:maria.gomez45@company.com" TargetMode="External"/><Relationship Id="rId54" Type="http://schemas.openxmlformats.org/officeDocument/2006/relationships/hyperlink" Target="mailto:JAVIER.MARTINEZ58@MAIL.COM" TargetMode="External"/><Relationship Id="rId160" Type="http://schemas.openxmlformats.org/officeDocument/2006/relationships/hyperlink" Target="mailto:fernando.vargas89@gmail.com" TargetMode="External"/><Relationship Id="rId57" Type="http://schemas.openxmlformats.org/officeDocument/2006/relationships/hyperlink" Target="mailto:fernando.diaz13@mail.com" TargetMode="External"/><Relationship Id="rId56" Type="http://schemas.openxmlformats.org/officeDocument/2006/relationships/hyperlink" Target="mailto:andres.morales46@company.com" TargetMode="External"/><Relationship Id="rId159" Type="http://schemas.openxmlformats.org/officeDocument/2006/relationships/hyperlink" Target="mailto:isabel.castro42@company.com" TargetMode="External"/><Relationship Id="rId59" Type="http://schemas.openxmlformats.org/officeDocument/2006/relationships/hyperlink" Target="mailto:javier.flores94@company.com" TargetMode="External"/><Relationship Id="rId154" Type="http://schemas.openxmlformats.org/officeDocument/2006/relationships/hyperlink" Target="mailto:andres.castro65@outlook.com" TargetMode="External"/><Relationship Id="rId58" Type="http://schemas.openxmlformats.org/officeDocument/2006/relationships/hyperlink" Target="mailto:carlos.perez33@gmail.com" TargetMode="External"/><Relationship Id="rId153" Type="http://schemas.openxmlformats.org/officeDocument/2006/relationships/hyperlink" Target="mailto:alejandro.gonzalez30@mail.com" TargetMode="External"/><Relationship Id="rId152" Type="http://schemas.openxmlformats.org/officeDocument/2006/relationships/hyperlink" Target="mailto:lucia.romero64@mail.com" TargetMode="External"/><Relationship Id="rId151" Type="http://schemas.openxmlformats.org/officeDocument/2006/relationships/hyperlink" Target="mailto:raul.perez31@outlook.com" TargetMode="External"/><Relationship Id="rId158" Type="http://schemas.openxmlformats.org/officeDocument/2006/relationships/hyperlink" Target="mailto:valeria.vargas97@company.com" TargetMode="External"/><Relationship Id="rId157" Type="http://schemas.openxmlformats.org/officeDocument/2006/relationships/hyperlink" Target="mailto:PATRICIA.RIVERA43@OUTLOOK.COM" TargetMode="External"/><Relationship Id="rId156" Type="http://schemas.openxmlformats.org/officeDocument/2006/relationships/hyperlink" Target="mailto:ana.castro42@gmail.com" TargetMode="External"/><Relationship Id="rId155" Type="http://schemas.openxmlformats.org/officeDocument/2006/relationships/hyperlink" Target="mailto:manuel.sanchez24@gmail.com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40" Type="http://schemas.openxmlformats.org/officeDocument/2006/relationships/hyperlink" Target="mailto:carolina.flores80@mail.com" TargetMode="External"/><Relationship Id="rId42" Type="http://schemas.openxmlformats.org/officeDocument/2006/relationships/hyperlink" Target="mailto:maria.ortiz54@outlook.com" TargetMode="External"/><Relationship Id="rId41" Type="http://schemas.openxmlformats.org/officeDocument/2006/relationships/hyperlink" Target="mailto:sofia.morales41@gmail.com" TargetMode="External"/><Relationship Id="rId44" Type="http://schemas.openxmlformats.org/officeDocument/2006/relationships/hyperlink" Target="mailto:camila.diaz36@mail.com" TargetMode="External"/><Relationship Id="rId43" Type="http://schemas.openxmlformats.org/officeDocument/2006/relationships/hyperlink" Target="mailto:natalia.sanchez62@company.com" TargetMode="External"/><Relationship Id="rId46" Type="http://schemas.openxmlformats.org/officeDocument/2006/relationships/hyperlink" Target="mailto:luis.flores7@company.com" TargetMode="External"/><Relationship Id="rId45" Type="http://schemas.openxmlformats.org/officeDocument/2006/relationships/hyperlink" Target="mailto:sofia.vargas36@mail.com" TargetMode="External"/><Relationship Id="rId107" Type="http://schemas.openxmlformats.org/officeDocument/2006/relationships/hyperlink" Target="mailto:paula.lopez23@gmail.com" TargetMode="External"/><Relationship Id="rId106" Type="http://schemas.openxmlformats.org/officeDocument/2006/relationships/hyperlink" Target="mailto:david.flores57@outlook.com" TargetMode="External"/><Relationship Id="rId105" Type="http://schemas.openxmlformats.org/officeDocument/2006/relationships/hyperlink" Target="mailto:alejandro.morales37@company.com" TargetMode="External"/><Relationship Id="rId104" Type="http://schemas.openxmlformats.org/officeDocument/2006/relationships/hyperlink" Target="mailto:jose.gomez79@mail.com" TargetMode="External"/><Relationship Id="rId109" Type="http://schemas.openxmlformats.org/officeDocument/2006/relationships/hyperlink" Target="mailto:andres.gonzalez89@gmail.com" TargetMode="External"/><Relationship Id="rId108" Type="http://schemas.openxmlformats.org/officeDocument/2006/relationships/hyperlink" Target="mailto:carolina.rivera48@mail.com" TargetMode="External"/><Relationship Id="rId48" Type="http://schemas.openxmlformats.org/officeDocument/2006/relationships/hyperlink" Target="mailto:maria.sanchez18@outlook.com" TargetMode="External"/><Relationship Id="rId47" Type="http://schemas.openxmlformats.org/officeDocument/2006/relationships/hyperlink" Target="mailto:lucia.garcia2@outlook.com" TargetMode="External"/><Relationship Id="rId49" Type="http://schemas.openxmlformats.org/officeDocument/2006/relationships/hyperlink" Target="mailto:patricia.rodriguez52@outlook.com" TargetMode="External"/><Relationship Id="rId103" Type="http://schemas.openxmlformats.org/officeDocument/2006/relationships/hyperlink" Target="mailto:miguel.ramirez23@mail.com" TargetMode="External"/><Relationship Id="rId102" Type="http://schemas.openxmlformats.org/officeDocument/2006/relationships/hyperlink" Target="mailto:ana.hernandez93@outlook.com" TargetMode="External"/><Relationship Id="rId101" Type="http://schemas.openxmlformats.org/officeDocument/2006/relationships/hyperlink" Target="mailto:miguel.castro98@mail.com" TargetMode="External"/><Relationship Id="rId100" Type="http://schemas.openxmlformats.org/officeDocument/2006/relationships/hyperlink" Target="mailto:manuel.castro90@company.com" TargetMode="External"/><Relationship Id="rId31" Type="http://schemas.openxmlformats.org/officeDocument/2006/relationships/hyperlink" Target="mailto:andres.sanchez74@outlook.com" TargetMode="External"/><Relationship Id="rId30" Type="http://schemas.openxmlformats.org/officeDocument/2006/relationships/hyperlink" Target="mailto:diego.navarro64@mail.com" TargetMode="External"/><Relationship Id="rId33" Type="http://schemas.openxmlformats.org/officeDocument/2006/relationships/hyperlink" Target="mailto:alejandro.sanchez42@mail.com" TargetMode="External"/><Relationship Id="rId183" Type="http://schemas.openxmlformats.org/officeDocument/2006/relationships/table" Target="../tables/table2.xml"/><Relationship Id="rId32" Type="http://schemas.openxmlformats.org/officeDocument/2006/relationships/hyperlink" Target="mailto:manuel.morales27@gmail.com" TargetMode="External"/><Relationship Id="rId35" Type="http://schemas.openxmlformats.org/officeDocument/2006/relationships/hyperlink" Target="mailto:david.torres10@company.com" TargetMode="External"/><Relationship Id="rId181" Type="http://schemas.openxmlformats.org/officeDocument/2006/relationships/drawing" Target="../drawings/drawing3.xml"/><Relationship Id="rId34" Type="http://schemas.openxmlformats.org/officeDocument/2006/relationships/hyperlink" Target="mailto:patricia.diaz43@company.com" TargetMode="External"/><Relationship Id="rId180" Type="http://schemas.openxmlformats.org/officeDocument/2006/relationships/hyperlink" Target="mailto:VALERIA.ROMERO51@MAIL.COM" TargetMode="External"/><Relationship Id="rId37" Type="http://schemas.openxmlformats.org/officeDocument/2006/relationships/hyperlink" Target="mailto:fernando.rivera80@company.com" TargetMode="External"/><Relationship Id="rId176" Type="http://schemas.openxmlformats.org/officeDocument/2006/relationships/hyperlink" Target="mailto:lucia.rodriguez52@company.com" TargetMode="External"/><Relationship Id="rId36" Type="http://schemas.openxmlformats.org/officeDocument/2006/relationships/hyperlink" Target="mailto:fernando.romero63@gmail.com" TargetMode="External"/><Relationship Id="rId175" Type="http://schemas.openxmlformats.org/officeDocument/2006/relationships/hyperlink" Target="mailto:miguel.martinez42@mail.com" TargetMode="External"/><Relationship Id="rId39" Type="http://schemas.openxmlformats.org/officeDocument/2006/relationships/hyperlink" Target="mailto:lucia.sanchez5@outlook.com" TargetMode="External"/><Relationship Id="rId174" Type="http://schemas.openxmlformats.org/officeDocument/2006/relationships/hyperlink" Target="mailto:elena.diaz46@gmail.com" TargetMode="External"/><Relationship Id="rId38" Type="http://schemas.openxmlformats.org/officeDocument/2006/relationships/hyperlink" Target="mailto:isabel.ortiz36@mail.com" TargetMode="External"/><Relationship Id="rId173" Type="http://schemas.openxmlformats.org/officeDocument/2006/relationships/hyperlink" Target="mailto:raul.perez66@mail.com" TargetMode="External"/><Relationship Id="rId179" Type="http://schemas.openxmlformats.org/officeDocument/2006/relationships/hyperlink" Target="mailto:valeria.rivera98@outlook.com" TargetMode="External"/><Relationship Id="rId178" Type="http://schemas.openxmlformats.org/officeDocument/2006/relationships/hyperlink" Target="mailto:sergio.gomez90@outlook.com" TargetMode="External"/><Relationship Id="rId177" Type="http://schemas.openxmlformats.org/officeDocument/2006/relationships/hyperlink" Target="mailto:paula.diaz25@outlook.com" TargetMode="External"/><Relationship Id="rId20" Type="http://schemas.openxmlformats.org/officeDocument/2006/relationships/hyperlink" Target="mailto:carlos.perez33@gmail.com" TargetMode="External"/><Relationship Id="rId22" Type="http://schemas.openxmlformats.org/officeDocument/2006/relationships/hyperlink" Target="mailto:sergio.hernandez12@outlook.com" TargetMode="External"/><Relationship Id="rId21" Type="http://schemas.openxmlformats.org/officeDocument/2006/relationships/hyperlink" Target="mailto:raul.hernandez69@company.com" TargetMode="External"/><Relationship Id="rId24" Type="http://schemas.openxmlformats.org/officeDocument/2006/relationships/hyperlink" Target="mailto:diego.garcia78@gmail.com" TargetMode="External"/><Relationship Id="rId23" Type="http://schemas.openxmlformats.org/officeDocument/2006/relationships/hyperlink" Target="mailto:paula.diaz76@mail.com" TargetMode="External"/><Relationship Id="rId129" Type="http://schemas.openxmlformats.org/officeDocument/2006/relationships/hyperlink" Target="mailto:paula.castro12@company.com" TargetMode="External"/><Relationship Id="rId128" Type="http://schemas.openxmlformats.org/officeDocument/2006/relationships/hyperlink" Target="mailto:raul.sanchez96@outlook.com" TargetMode="External"/><Relationship Id="rId127" Type="http://schemas.openxmlformats.org/officeDocument/2006/relationships/hyperlink" Target="mailto:luis.flores57@company.com" TargetMode="External"/><Relationship Id="rId126" Type="http://schemas.openxmlformats.org/officeDocument/2006/relationships/hyperlink" Target="mailto:patricia.diaz3@mail.com" TargetMode="External"/><Relationship Id="rId26" Type="http://schemas.openxmlformats.org/officeDocument/2006/relationships/hyperlink" Target="mailto:fernando.morales39@company.com" TargetMode="External"/><Relationship Id="rId121" Type="http://schemas.openxmlformats.org/officeDocument/2006/relationships/hyperlink" Target="mailto:maria.ortiz31@gmail.com" TargetMode="External"/><Relationship Id="rId25" Type="http://schemas.openxmlformats.org/officeDocument/2006/relationships/hyperlink" Target="mailto:daniel.perez13@gmail.com" TargetMode="External"/><Relationship Id="rId120" Type="http://schemas.openxmlformats.org/officeDocument/2006/relationships/hyperlink" Target="mailto:sofia.diaz89@mail.com" TargetMode="External"/><Relationship Id="rId28" Type="http://schemas.openxmlformats.org/officeDocument/2006/relationships/hyperlink" Target="mailto:alejandro.ramirez44@company.com" TargetMode="External"/><Relationship Id="rId27" Type="http://schemas.openxmlformats.org/officeDocument/2006/relationships/hyperlink" Target="mailto:alejandro.torres56@company.com" TargetMode="External"/><Relationship Id="rId125" Type="http://schemas.openxmlformats.org/officeDocument/2006/relationships/hyperlink" Target="mailto:jose.martinez32@outlook.com" TargetMode="External"/><Relationship Id="rId29" Type="http://schemas.openxmlformats.org/officeDocument/2006/relationships/hyperlink" Target="mailto:raul.rodriguez57@gmail.com" TargetMode="External"/><Relationship Id="rId124" Type="http://schemas.openxmlformats.org/officeDocument/2006/relationships/hyperlink" Target="mailto:david.sanchez3@company.com" TargetMode="External"/><Relationship Id="rId123" Type="http://schemas.openxmlformats.org/officeDocument/2006/relationships/hyperlink" Target="mailto:manuel.rivera5@company.com" TargetMode="External"/><Relationship Id="rId122" Type="http://schemas.openxmlformats.org/officeDocument/2006/relationships/hyperlink" Target="mailto:paula.flores21@mail.com" TargetMode="External"/><Relationship Id="rId95" Type="http://schemas.openxmlformats.org/officeDocument/2006/relationships/hyperlink" Target="mailto:fernando.diaz28@gmail.com" TargetMode="External"/><Relationship Id="rId94" Type="http://schemas.openxmlformats.org/officeDocument/2006/relationships/hyperlink" Target="mailto:david.navarro78@company.com" TargetMode="External"/><Relationship Id="rId97" Type="http://schemas.openxmlformats.org/officeDocument/2006/relationships/hyperlink" Target="mailto:ana.lopez5@mail.com" TargetMode="External"/><Relationship Id="rId96" Type="http://schemas.openxmlformats.org/officeDocument/2006/relationships/hyperlink" Target="mailto:patricia.vargas46@mail.com" TargetMode="External"/><Relationship Id="rId11" Type="http://schemas.openxmlformats.org/officeDocument/2006/relationships/hyperlink" Target="mailto:andres.martinez22@mail.com" TargetMode="External"/><Relationship Id="rId99" Type="http://schemas.openxmlformats.org/officeDocument/2006/relationships/hyperlink" Target="mailto:valeria.garcia11@outlook.com" TargetMode="External"/><Relationship Id="rId10" Type="http://schemas.openxmlformats.org/officeDocument/2006/relationships/hyperlink" Target="mailto:patricia.perez5@outlook.com" TargetMode="External"/><Relationship Id="rId98" Type="http://schemas.openxmlformats.org/officeDocument/2006/relationships/hyperlink" Target="mailto:valeria.castro17@gmail.com" TargetMode="External"/><Relationship Id="rId13" Type="http://schemas.openxmlformats.org/officeDocument/2006/relationships/hyperlink" Target="mailto:sergio.ortiz49@company.com" TargetMode="External"/><Relationship Id="rId12" Type="http://schemas.openxmlformats.org/officeDocument/2006/relationships/hyperlink" Target="mailto:natalia.ortiz66@gmail.com" TargetMode="External"/><Relationship Id="rId91" Type="http://schemas.openxmlformats.org/officeDocument/2006/relationships/hyperlink" Target="mailto:sergio.navarro85@gmail.com" TargetMode="External"/><Relationship Id="rId90" Type="http://schemas.openxmlformats.org/officeDocument/2006/relationships/hyperlink" Target="mailto:sergio.gomez44@mail.com" TargetMode="External"/><Relationship Id="rId93" Type="http://schemas.openxmlformats.org/officeDocument/2006/relationships/hyperlink" Target="mailto:patricia.martinez26@gmail.com" TargetMode="External"/><Relationship Id="rId92" Type="http://schemas.openxmlformats.org/officeDocument/2006/relationships/hyperlink" Target="mailto:carolina.navarro58@gmail.com" TargetMode="External"/><Relationship Id="rId118" Type="http://schemas.openxmlformats.org/officeDocument/2006/relationships/hyperlink" Target="mailto:diego.hernandez61@gmail.com" TargetMode="External"/><Relationship Id="rId117" Type="http://schemas.openxmlformats.org/officeDocument/2006/relationships/hyperlink" Target="mailto:david.gonzalez67@outlook.com" TargetMode="External"/><Relationship Id="rId116" Type="http://schemas.openxmlformats.org/officeDocument/2006/relationships/hyperlink" Target="mailto:daniel.diaz37@outlook.com" TargetMode="External"/><Relationship Id="rId115" Type="http://schemas.openxmlformats.org/officeDocument/2006/relationships/hyperlink" Target="mailto:daniel.gomez70@outlook.com" TargetMode="External"/><Relationship Id="rId119" Type="http://schemas.openxmlformats.org/officeDocument/2006/relationships/hyperlink" Target="mailto:sofia.lopez20@gmail.com" TargetMode="External"/><Relationship Id="rId15" Type="http://schemas.openxmlformats.org/officeDocument/2006/relationships/hyperlink" Target="mailto:javier.martinez59@mail.com" TargetMode="External"/><Relationship Id="rId110" Type="http://schemas.openxmlformats.org/officeDocument/2006/relationships/hyperlink" Target="mailto:manuel.vargas39@mail.com" TargetMode="External"/><Relationship Id="rId14" Type="http://schemas.openxmlformats.org/officeDocument/2006/relationships/hyperlink" Target="mailto:javier.diaz69@gmail.com" TargetMode="External"/><Relationship Id="rId17" Type="http://schemas.openxmlformats.org/officeDocument/2006/relationships/hyperlink" Target="mailto:luis.rodriguez98@gmail.com" TargetMode="External"/><Relationship Id="rId16" Type="http://schemas.openxmlformats.org/officeDocument/2006/relationships/hyperlink" Target="mailto:isabel.gomez32@mail.com" TargetMode="External"/><Relationship Id="rId19" Type="http://schemas.openxmlformats.org/officeDocument/2006/relationships/hyperlink" Target="mailto:daniel.flores94@outlook.com" TargetMode="External"/><Relationship Id="rId114" Type="http://schemas.openxmlformats.org/officeDocument/2006/relationships/hyperlink" Target="mailto:lucia.diaz1@company.com" TargetMode="External"/><Relationship Id="rId18" Type="http://schemas.openxmlformats.org/officeDocument/2006/relationships/hyperlink" Target="mailto:natalia.diaz38@mail.com" TargetMode="External"/><Relationship Id="rId113" Type="http://schemas.openxmlformats.org/officeDocument/2006/relationships/hyperlink" Target="mailto:lucia.vargas98@gmail.com" TargetMode="External"/><Relationship Id="rId112" Type="http://schemas.openxmlformats.org/officeDocument/2006/relationships/hyperlink" Target="mailto:luis.hernandez26@mail.com" TargetMode="External"/><Relationship Id="rId111" Type="http://schemas.openxmlformats.org/officeDocument/2006/relationships/hyperlink" Target="mailto:raul.vargas51@gmail.com" TargetMode="External"/><Relationship Id="rId84" Type="http://schemas.openxmlformats.org/officeDocument/2006/relationships/hyperlink" Target="mailto:valeria.castro40@mail.com" TargetMode="External"/><Relationship Id="rId83" Type="http://schemas.openxmlformats.org/officeDocument/2006/relationships/hyperlink" Target="mailto:ana.flores62@gmail.com" TargetMode="External"/><Relationship Id="rId86" Type="http://schemas.openxmlformats.org/officeDocument/2006/relationships/hyperlink" Target="mailto:luis.gonzalez69@gmail.com" TargetMode="External"/><Relationship Id="rId85" Type="http://schemas.openxmlformats.org/officeDocument/2006/relationships/hyperlink" Target="mailto:patricia.rodriguez74@mail.com" TargetMode="External"/><Relationship Id="rId88" Type="http://schemas.openxmlformats.org/officeDocument/2006/relationships/hyperlink" Target="mailto:david.gonzalez31@gmail.com" TargetMode="External"/><Relationship Id="rId150" Type="http://schemas.openxmlformats.org/officeDocument/2006/relationships/hyperlink" Target="mailto:miguel.sanchez3@mail.com" TargetMode="External"/><Relationship Id="rId87" Type="http://schemas.openxmlformats.org/officeDocument/2006/relationships/hyperlink" Target="mailto:luis.morales55@company.com" TargetMode="External"/><Relationship Id="rId89" Type="http://schemas.openxmlformats.org/officeDocument/2006/relationships/hyperlink" Target="mailto:carolina.garcia98@mail.com" TargetMode="External"/><Relationship Id="rId80" Type="http://schemas.openxmlformats.org/officeDocument/2006/relationships/hyperlink" Target="mailto:laura.gomez3@company.com" TargetMode="External"/><Relationship Id="rId82" Type="http://schemas.openxmlformats.org/officeDocument/2006/relationships/hyperlink" Target="mailto:laura.rivera45@gmail.com" TargetMode="External"/><Relationship Id="rId81" Type="http://schemas.openxmlformats.org/officeDocument/2006/relationships/hyperlink" Target="mailto:isabel.gonzalez3@company.com" TargetMode="External"/><Relationship Id="rId1" Type="http://schemas.openxmlformats.org/officeDocument/2006/relationships/hyperlink" Target="mailto:alejandro.navarro94@company.com" TargetMode="External"/><Relationship Id="rId2" Type="http://schemas.openxmlformats.org/officeDocument/2006/relationships/hyperlink" Target="mailto:camila.gonzalez86@mail.com" TargetMode="External"/><Relationship Id="rId3" Type="http://schemas.openxmlformats.org/officeDocument/2006/relationships/hyperlink" Target="mailto:carlos.navarro11@mail.com" TargetMode="External"/><Relationship Id="rId149" Type="http://schemas.openxmlformats.org/officeDocument/2006/relationships/hyperlink" Target="mailto:manuel.martinez2@gmail.com" TargetMode="External"/><Relationship Id="rId4" Type="http://schemas.openxmlformats.org/officeDocument/2006/relationships/hyperlink" Target="mailto:maria.gonzalez3@outlook.com" TargetMode="External"/><Relationship Id="rId148" Type="http://schemas.openxmlformats.org/officeDocument/2006/relationships/hyperlink" Target="mailto:daniel.ramirez25@outlook.com" TargetMode="External"/><Relationship Id="rId9" Type="http://schemas.openxmlformats.org/officeDocument/2006/relationships/hyperlink" Target="mailto:manuel.lopez9@outlook.com" TargetMode="External"/><Relationship Id="rId143" Type="http://schemas.openxmlformats.org/officeDocument/2006/relationships/hyperlink" Target="mailto:LUIS.FLORES66@GMAIL.COM" TargetMode="External"/><Relationship Id="rId142" Type="http://schemas.openxmlformats.org/officeDocument/2006/relationships/hyperlink" Target="mailto:andres.romero91@gmail.com" TargetMode="External"/><Relationship Id="rId141" Type="http://schemas.openxmlformats.org/officeDocument/2006/relationships/hyperlink" Target="mailto:paula.flores40@gmail.com" TargetMode="External"/><Relationship Id="rId140" Type="http://schemas.openxmlformats.org/officeDocument/2006/relationships/hyperlink" Target="mailto:jose.castro34@gmail.com" TargetMode="External"/><Relationship Id="rId5" Type="http://schemas.openxmlformats.org/officeDocument/2006/relationships/hyperlink" Target="mailto:carolina.navarro41@gmail.com" TargetMode="External"/><Relationship Id="rId147" Type="http://schemas.openxmlformats.org/officeDocument/2006/relationships/hyperlink" Target="mailto:laura.torres19@gmail.com" TargetMode="External"/><Relationship Id="rId6" Type="http://schemas.openxmlformats.org/officeDocument/2006/relationships/hyperlink" Target="mailto:maria.rivera61@outlook.com" TargetMode="External"/><Relationship Id="rId146" Type="http://schemas.openxmlformats.org/officeDocument/2006/relationships/hyperlink" Target="mailto:manuel.gomez96@mail.com" TargetMode="External"/><Relationship Id="rId7" Type="http://schemas.openxmlformats.org/officeDocument/2006/relationships/hyperlink" Target="mailto:camila.torres47@company.com" TargetMode="External"/><Relationship Id="rId145" Type="http://schemas.openxmlformats.org/officeDocument/2006/relationships/hyperlink" Target="mailto:david.romero42@gmail.com" TargetMode="External"/><Relationship Id="rId8" Type="http://schemas.openxmlformats.org/officeDocument/2006/relationships/hyperlink" Target="mailto:miguel.rodriguez72@outlook.com" TargetMode="External"/><Relationship Id="rId144" Type="http://schemas.openxmlformats.org/officeDocument/2006/relationships/hyperlink" Target="mailto:laura.rivera43@company.com" TargetMode="External"/><Relationship Id="rId73" Type="http://schemas.openxmlformats.org/officeDocument/2006/relationships/hyperlink" Target="mailto:sergio.garcia86@outlook.com" TargetMode="External"/><Relationship Id="rId72" Type="http://schemas.openxmlformats.org/officeDocument/2006/relationships/hyperlink" Target="mailto:isabel.rivera15@outlook.com" TargetMode="External"/><Relationship Id="rId75" Type="http://schemas.openxmlformats.org/officeDocument/2006/relationships/hyperlink" Target="mailto:david.rodriguez27@company.com" TargetMode="External"/><Relationship Id="rId74" Type="http://schemas.openxmlformats.org/officeDocument/2006/relationships/hyperlink" Target="mailto:manuel.rodriguez68@gmail.com" TargetMode="External"/><Relationship Id="rId77" Type="http://schemas.openxmlformats.org/officeDocument/2006/relationships/hyperlink" Target="mailto:daniel.diaz68@gmail.com" TargetMode="External"/><Relationship Id="rId76" Type="http://schemas.openxmlformats.org/officeDocument/2006/relationships/hyperlink" Target="mailto:isabel.gomez42@mail.com" TargetMode="External"/><Relationship Id="rId79" Type="http://schemas.openxmlformats.org/officeDocument/2006/relationships/hyperlink" Target="mailto:ana.garcia24@mail.com" TargetMode="External"/><Relationship Id="rId78" Type="http://schemas.openxmlformats.org/officeDocument/2006/relationships/hyperlink" Target="mailto:luis.morales26@gmail.com" TargetMode="External"/><Relationship Id="rId71" Type="http://schemas.openxmlformats.org/officeDocument/2006/relationships/hyperlink" Target="mailto:marta.rivera75@outlook.com" TargetMode="External"/><Relationship Id="rId70" Type="http://schemas.openxmlformats.org/officeDocument/2006/relationships/hyperlink" Target="mailto:fernando.ramirez67@company.com" TargetMode="External"/><Relationship Id="rId139" Type="http://schemas.openxmlformats.org/officeDocument/2006/relationships/hyperlink" Target="mailto:gabriela.ramirez34@outlook.com" TargetMode="External"/><Relationship Id="rId138" Type="http://schemas.openxmlformats.org/officeDocument/2006/relationships/hyperlink" Target="mailto:fernando.ramirez1@gmail.com" TargetMode="External"/><Relationship Id="rId137" Type="http://schemas.openxmlformats.org/officeDocument/2006/relationships/hyperlink" Target="mailto:lucia.flores76@company.com" TargetMode="External"/><Relationship Id="rId132" Type="http://schemas.openxmlformats.org/officeDocument/2006/relationships/hyperlink" Target="mailto:maria.morales26@outlook.com" TargetMode="External"/><Relationship Id="rId131" Type="http://schemas.openxmlformats.org/officeDocument/2006/relationships/hyperlink" Target="mailto:carlos.morales7@company.com" TargetMode="External"/><Relationship Id="rId130" Type="http://schemas.openxmlformats.org/officeDocument/2006/relationships/hyperlink" Target="mailto:andres.sanchez5@gmail.com" TargetMode="External"/><Relationship Id="rId136" Type="http://schemas.openxmlformats.org/officeDocument/2006/relationships/hyperlink" Target="mailto:ricardo.torres8@gmail.com" TargetMode="External"/><Relationship Id="rId135" Type="http://schemas.openxmlformats.org/officeDocument/2006/relationships/hyperlink" Target="mailto:paula.lopez87@outlook.com" TargetMode="External"/><Relationship Id="rId134" Type="http://schemas.openxmlformats.org/officeDocument/2006/relationships/hyperlink" Target="mailto:fernando.flores76@company.com" TargetMode="External"/><Relationship Id="rId133" Type="http://schemas.openxmlformats.org/officeDocument/2006/relationships/hyperlink" Target="mailto:lucia.ortiz70@company.com" TargetMode="External"/><Relationship Id="rId62" Type="http://schemas.openxmlformats.org/officeDocument/2006/relationships/hyperlink" Target="mailto:elena.torres41@mail.com" TargetMode="External"/><Relationship Id="rId61" Type="http://schemas.openxmlformats.org/officeDocument/2006/relationships/hyperlink" Target="mailto:carlos.lopez95@outlook.com" TargetMode="External"/><Relationship Id="rId64" Type="http://schemas.openxmlformats.org/officeDocument/2006/relationships/hyperlink" Target="mailto:elena.vargas90@company.com" TargetMode="External"/><Relationship Id="rId63" Type="http://schemas.openxmlformats.org/officeDocument/2006/relationships/hyperlink" Target="mailto:camila.hernandez7@gmail.com" TargetMode="External"/><Relationship Id="rId66" Type="http://schemas.openxmlformats.org/officeDocument/2006/relationships/hyperlink" Target="mailto:laura.martinez8@company.com" TargetMode="External"/><Relationship Id="rId172" Type="http://schemas.openxmlformats.org/officeDocument/2006/relationships/hyperlink" Target="mailto:lucia.castro29@gmail.com" TargetMode="External"/><Relationship Id="rId65" Type="http://schemas.openxmlformats.org/officeDocument/2006/relationships/hyperlink" Target="mailto:andres.gomez55@mail.com" TargetMode="External"/><Relationship Id="rId171" Type="http://schemas.openxmlformats.org/officeDocument/2006/relationships/hyperlink" Target="mailto:diego.castro2@outlook.com" TargetMode="External"/><Relationship Id="rId68" Type="http://schemas.openxmlformats.org/officeDocument/2006/relationships/hyperlink" Target="mailto:ricardo.lopez5@mail.com" TargetMode="External"/><Relationship Id="rId170" Type="http://schemas.openxmlformats.org/officeDocument/2006/relationships/hyperlink" Target="mailto:david.vargas77@company.com" TargetMode="External"/><Relationship Id="rId67" Type="http://schemas.openxmlformats.org/officeDocument/2006/relationships/hyperlink" Target="mailto:david.ortiz26@mail.com" TargetMode="External"/><Relationship Id="rId60" Type="http://schemas.openxmlformats.org/officeDocument/2006/relationships/hyperlink" Target="mailto:isabel.hernandez64@outlook.com" TargetMode="External"/><Relationship Id="rId165" Type="http://schemas.openxmlformats.org/officeDocument/2006/relationships/hyperlink" Target="mailto:sergio.sanchez42@gmail.com" TargetMode="External"/><Relationship Id="rId69" Type="http://schemas.openxmlformats.org/officeDocument/2006/relationships/hyperlink" Target="mailto:carolina.ortiz69@gmail.com" TargetMode="External"/><Relationship Id="rId164" Type="http://schemas.openxmlformats.org/officeDocument/2006/relationships/hyperlink" Target="mailto:patricia.diaz44@mail.com" TargetMode="External"/><Relationship Id="rId163" Type="http://schemas.openxmlformats.org/officeDocument/2006/relationships/hyperlink" Target="mailto:isabel.ortiz35@gmail.com" TargetMode="External"/><Relationship Id="rId162" Type="http://schemas.openxmlformats.org/officeDocument/2006/relationships/hyperlink" Target="mailto:carlos.hernandez52@outlook.com" TargetMode="External"/><Relationship Id="rId169" Type="http://schemas.openxmlformats.org/officeDocument/2006/relationships/hyperlink" Target="mailto:javier.vargas25@gmail.com" TargetMode="External"/><Relationship Id="rId168" Type="http://schemas.openxmlformats.org/officeDocument/2006/relationships/hyperlink" Target="mailto:luis.romero32@mail.com" TargetMode="External"/><Relationship Id="rId167" Type="http://schemas.openxmlformats.org/officeDocument/2006/relationships/hyperlink" Target="mailto:isabel.torres94@mail.com" TargetMode="External"/><Relationship Id="rId166" Type="http://schemas.openxmlformats.org/officeDocument/2006/relationships/hyperlink" Target="mailto:paula.garcia31@outlook.com" TargetMode="External"/><Relationship Id="rId51" Type="http://schemas.openxmlformats.org/officeDocument/2006/relationships/hyperlink" Target="mailto:maria.rodriguez23@gmail.com" TargetMode="External"/><Relationship Id="rId50" Type="http://schemas.openxmlformats.org/officeDocument/2006/relationships/hyperlink" Target="mailto:natalia.rodriguez44@mail.com" TargetMode="External"/><Relationship Id="rId53" Type="http://schemas.openxmlformats.org/officeDocument/2006/relationships/hyperlink" Target="mailto:JAVIER.MARTINEZ58@MAIL.COM" TargetMode="External"/><Relationship Id="rId52" Type="http://schemas.openxmlformats.org/officeDocument/2006/relationships/hyperlink" Target="mailto:ricardo.morales60@mail.com" TargetMode="External"/><Relationship Id="rId55" Type="http://schemas.openxmlformats.org/officeDocument/2006/relationships/hyperlink" Target="mailto:andres.morales46@company.com" TargetMode="External"/><Relationship Id="rId161" Type="http://schemas.openxmlformats.org/officeDocument/2006/relationships/hyperlink" Target="mailto:maria.gomez45@company.com" TargetMode="External"/><Relationship Id="rId54" Type="http://schemas.openxmlformats.org/officeDocument/2006/relationships/hyperlink" Target="mailto:patricia.castro89@mail.com" TargetMode="External"/><Relationship Id="rId160" Type="http://schemas.openxmlformats.org/officeDocument/2006/relationships/hyperlink" Target="mailto:fernando.vargas89@gmail.com" TargetMode="External"/><Relationship Id="rId57" Type="http://schemas.openxmlformats.org/officeDocument/2006/relationships/hyperlink" Target="mailto:jose.gomez22@gmail.com" TargetMode="External"/><Relationship Id="rId56" Type="http://schemas.openxmlformats.org/officeDocument/2006/relationships/hyperlink" Target="mailto:fernando.diaz13@mail.com" TargetMode="External"/><Relationship Id="rId159" Type="http://schemas.openxmlformats.org/officeDocument/2006/relationships/hyperlink" Target="mailto:isabel.castro42@company.com" TargetMode="External"/><Relationship Id="rId59" Type="http://schemas.openxmlformats.org/officeDocument/2006/relationships/hyperlink" Target="mailto:javier.flores94@company.com" TargetMode="External"/><Relationship Id="rId154" Type="http://schemas.openxmlformats.org/officeDocument/2006/relationships/hyperlink" Target="mailto:andres.castro65@outlook.com" TargetMode="External"/><Relationship Id="rId58" Type="http://schemas.openxmlformats.org/officeDocument/2006/relationships/hyperlink" Target="mailto:natalia.rodriguez3@company.com" TargetMode="External"/><Relationship Id="rId153" Type="http://schemas.openxmlformats.org/officeDocument/2006/relationships/hyperlink" Target="mailto:alejandro.gonzalez30@mail.com" TargetMode="External"/><Relationship Id="rId152" Type="http://schemas.openxmlformats.org/officeDocument/2006/relationships/hyperlink" Target="mailto:lucia.romero64@mail.com" TargetMode="External"/><Relationship Id="rId151" Type="http://schemas.openxmlformats.org/officeDocument/2006/relationships/hyperlink" Target="mailto:raul.perez31@outlook.com" TargetMode="External"/><Relationship Id="rId158" Type="http://schemas.openxmlformats.org/officeDocument/2006/relationships/hyperlink" Target="mailto:valeria.vargas97@company.com" TargetMode="External"/><Relationship Id="rId157" Type="http://schemas.openxmlformats.org/officeDocument/2006/relationships/hyperlink" Target="mailto:PATRICIA.RIVERA43@OUTLOOK.COM" TargetMode="External"/><Relationship Id="rId156" Type="http://schemas.openxmlformats.org/officeDocument/2006/relationships/hyperlink" Target="mailto:ana.castro42@gmail.com" TargetMode="External"/><Relationship Id="rId155" Type="http://schemas.openxmlformats.org/officeDocument/2006/relationships/hyperlink" Target="mailto:manuel.sanchez24@gmail.com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40" Type="http://schemas.openxmlformats.org/officeDocument/2006/relationships/hyperlink" Target="mailto:carolina.flores80@mail.com" TargetMode="External"/><Relationship Id="rId42" Type="http://schemas.openxmlformats.org/officeDocument/2006/relationships/hyperlink" Target="mailto:maria.ortiz54@outlook.com" TargetMode="External"/><Relationship Id="rId41" Type="http://schemas.openxmlformats.org/officeDocument/2006/relationships/hyperlink" Target="mailto:sofia.morales41@gmail.com" TargetMode="External"/><Relationship Id="rId44" Type="http://schemas.openxmlformats.org/officeDocument/2006/relationships/hyperlink" Target="mailto:camila.diaz36@mail.com" TargetMode="External"/><Relationship Id="rId43" Type="http://schemas.openxmlformats.org/officeDocument/2006/relationships/hyperlink" Target="mailto:natalia.sanchez62@company.com" TargetMode="External"/><Relationship Id="rId46" Type="http://schemas.openxmlformats.org/officeDocument/2006/relationships/hyperlink" Target="mailto:luis.flores7@company.com" TargetMode="External"/><Relationship Id="rId45" Type="http://schemas.openxmlformats.org/officeDocument/2006/relationships/hyperlink" Target="mailto:sofia.vargas36@mail.com" TargetMode="External"/><Relationship Id="rId107" Type="http://schemas.openxmlformats.org/officeDocument/2006/relationships/hyperlink" Target="mailto:david.flores57@outlook.com" TargetMode="External"/><Relationship Id="rId106" Type="http://schemas.openxmlformats.org/officeDocument/2006/relationships/hyperlink" Target="mailto:alejandro.morales37@company.com" TargetMode="External"/><Relationship Id="rId105" Type="http://schemas.openxmlformats.org/officeDocument/2006/relationships/hyperlink" Target="mailto:jose.gomez79@mail.com" TargetMode="External"/><Relationship Id="rId104" Type="http://schemas.openxmlformats.org/officeDocument/2006/relationships/hyperlink" Target="mailto:miguel.ramirez23@mail.com" TargetMode="External"/><Relationship Id="rId109" Type="http://schemas.openxmlformats.org/officeDocument/2006/relationships/hyperlink" Target="mailto:carolina.rivera48@mail.com" TargetMode="External"/><Relationship Id="rId108" Type="http://schemas.openxmlformats.org/officeDocument/2006/relationships/hyperlink" Target="mailto:paula.lopez23@gmail.com" TargetMode="External"/><Relationship Id="rId48" Type="http://schemas.openxmlformats.org/officeDocument/2006/relationships/hyperlink" Target="mailto:lucia.garcia2@outlook.com" TargetMode="External"/><Relationship Id="rId47" Type="http://schemas.openxmlformats.org/officeDocument/2006/relationships/hyperlink" Target="mailto:VALERIA.ROMERO51@MAIL.COM" TargetMode="External"/><Relationship Id="rId186" Type="http://schemas.openxmlformats.org/officeDocument/2006/relationships/drawing" Target="../drawings/drawing7.xml"/><Relationship Id="rId185" Type="http://schemas.openxmlformats.org/officeDocument/2006/relationships/hyperlink" Target="mailto:camila.torres47@company.com" TargetMode="External"/><Relationship Id="rId49" Type="http://schemas.openxmlformats.org/officeDocument/2006/relationships/hyperlink" Target="mailto:maria.sanchez18@outlook.com" TargetMode="External"/><Relationship Id="rId184" Type="http://schemas.openxmlformats.org/officeDocument/2006/relationships/hyperlink" Target="mailto:paula.diaz25@outlook.com" TargetMode="External"/><Relationship Id="rId103" Type="http://schemas.openxmlformats.org/officeDocument/2006/relationships/hyperlink" Target="mailto:ana.hernandez93@outlook.com" TargetMode="External"/><Relationship Id="rId102" Type="http://schemas.openxmlformats.org/officeDocument/2006/relationships/hyperlink" Target="mailto:miguel.castro98@mail.com" TargetMode="External"/><Relationship Id="rId101" Type="http://schemas.openxmlformats.org/officeDocument/2006/relationships/hyperlink" Target="mailto:manuel.castro90@company.com" TargetMode="External"/><Relationship Id="rId100" Type="http://schemas.openxmlformats.org/officeDocument/2006/relationships/hyperlink" Target="mailto:valeria.garcia11@outlook.com" TargetMode="External"/><Relationship Id="rId188" Type="http://schemas.openxmlformats.org/officeDocument/2006/relationships/table" Target="../tables/table3.xml"/><Relationship Id="rId31" Type="http://schemas.openxmlformats.org/officeDocument/2006/relationships/hyperlink" Target="mailto:diego.navarro64@mail.com" TargetMode="External"/><Relationship Id="rId30" Type="http://schemas.openxmlformats.org/officeDocument/2006/relationships/hyperlink" Target="mailto:raul.rodriguez57@gmail.com" TargetMode="External"/><Relationship Id="rId33" Type="http://schemas.openxmlformats.org/officeDocument/2006/relationships/hyperlink" Target="mailto:manuel.morales27@gmail.com" TargetMode="External"/><Relationship Id="rId183" Type="http://schemas.openxmlformats.org/officeDocument/2006/relationships/hyperlink" Target="mailto:VALERIA.ROMERO51@MAIL.COM" TargetMode="External"/><Relationship Id="rId32" Type="http://schemas.openxmlformats.org/officeDocument/2006/relationships/hyperlink" Target="mailto:andres.sanchez74@outlook.com" TargetMode="External"/><Relationship Id="rId182" Type="http://schemas.openxmlformats.org/officeDocument/2006/relationships/hyperlink" Target="mailto:jose.gomez22@gmail.com" TargetMode="External"/><Relationship Id="rId35" Type="http://schemas.openxmlformats.org/officeDocument/2006/relationships/hyperlink" Target="mailto:patricia.diaz43@company.com" TargetMode="External"/><Relationship Id="rId181" Type="http://schemas.openxmlformats.org/officeDocument/2006/relationships/hyperlink" Target="mailto:PATRICIA.MARTINEZ26@GMAIL.COM" TargetMode="External"/><Relationship Id="rId34" Type="http://schemas.openxmlformats.org/officeDocument/2006/relationships/hyperlink" Target="mailto:alejandro.sanchez42@mail.com" TargetMode="External"/><Relationship Id="rId180" Type="http://schemas.openxmlformats.org/officeDocument/2006/relationships/hyperlink" Target="mailto:valeria.rivera98@outlook.com" TargetMode="External"/><Relationship Id="rId37" Type="http://schemas.openxmlformats.org/officeDocument/2006/relationships/hyperlink" Target="mailto:fernando.romero63@gmail.com" TargetMode="External"/><Relationship Id="rId176" Type="http://schemas.openxmlformats.org/officeDocument/2006/relationships/hyperlink" Target="mailto:lucia.rodriguez52@company.com" TargetMode="External"/><Relationship Id="rId36" Type="http://schemas.openxmlformats.org/officeDocument/2006/relationships/hyperlink" Target="mailto:david.torres10@company.com" TargetMode="External"/><Relationship Id="rId175" Type="http://schemas.openxmlformats.org/officeDocument/2006/relationships/hyperlink" Target="mailto:miguel.martinez42@mail.com" TargetMode="External"/><Relationship Id="rId39" Type="http://schemas.openxmlformats.org/officeDocument/2006/relationships/hyperlink" Target="mailto:isabel.ortiz36@mail.com" TargetMode="External"/><Relationship Id="rId174" Type="http://schemas.openxmlformats.org/officeDocument/2006/relationships/hyperlink" Target="mailto:elena.diaz46@gmail.com" TargetMode="External"/><Relationship Id="rId38" Type="http://schemas.openxmlformats.org/officeDocument/2006/relationships/hyperlink" Target="mailto:fernando.rivera80@company.com" TargetMode="External"/><Relationship Id="rId173" Type="http://schemas.openxmlformats.org/officeDocument/2006/relationships/hyperlink" Target="mailto:raul.perez66@mail.com" TargetMode="External"/><Relationship Id="rId179" Type="http://schemas.openxmlformats.org/officeDocument/2006/relationships/hyperlink" Target="mailto:sergio.gomez90@outlook.com" TargetMode="External"/><Relationship Id="rId178" Type="http://schemas.openxmlformats.org/officeDocument/2006/relationships/hyperlink" Target="mailto:CARLOS.PEREZ33@GMAIL.COM" TargetMode="External"/><Relationship Id="rId177" Type="http://schemas.openxmlformats.org/officeDocument/2006/relationships/hyperlink" Target="mailto:camila.gonzalez86@mail.com" TargetMode="External"/><Relationship Id="rId20" Type="http://schemas.openxmlformats.org/officeDocument/2006/relationships/hyperlink" Target="mailto:natalia.diaz38@mail.com" TargetMode="External"/><Relationship Id="rId22" Type="http://schemas.openxmlformats.org/officeDocument/2006/relationships/hyperlink" Target="mailto:sergio.gomez90@outlook.com" TargetMode="External"/><Relationship Id="rId21" Type="http://schemas.openxmlformats.org/officeDocument/2006/relationships/hyperlink" Target="mailto:daniel.flores94@outlook.com" TargetMode="External"/><Relationship Id="rId24" Type="http://schemas.openxmlformats.org/officeDocument/2006/relationships/hyperlink" Target="mailto:sergio.hernandez12@outlook.com" TargetMode="External"/><Relationship Id="rId23" Type="http://schemas.openxmlformats.org/officeDocument/2006/relationships/hyperlink" Target="mailto:raul.hernandez69@company.com" TargetMode="External"/><Relationship Id="rId129" Type="http://schemas.openxmlformats.org/officeDocument/2006/relationships/hyperlink" Target="mailto:raul.sanchez96@outlook.com" TargetMode="External"/><Relationship Id="rId128" Type="http://schemas.openxmlformats.org/officeDocument/2006/relationships/hyperlink" Target="mailto:luis.flores57@company.com" TargetMode="External"/><Relationship Id="rId127" Type="http://schemas.openxmlformats.org/officeDocument/2006/relationships/hyperlink" Target="mailto:patricia.diaz3@mail.com" TargetMode="External"/><Relationship Id="rId126" Type="http://schemas.openxmlformats.org/officeDocument/2006/relationships/hyperlink" Target="mailto:jose.martinez32@outlook.com" TargetMode="External"/><Relationship Id="rId26" Type="http://schemas.openxmlformats.org/officeDocument/2006/relationships/hyperlink" Target="mailto:diego.garcia78@gmail.com" TargetMode="External"/><Relationship Id="rId121" Type="http://schemas.openxmlformats.org/officeDocument/2006/relationships/hyperlink" Target="mailto:sofia.diaz89@mail.com" TargetMode="External"/><Relationship Id="rId25" Type="http://schemas.openxmlformats.org/officeDocument/2006/relationships/hyperlink" Target="mailto:paula.diaz76@mail.com" TargetMode="External"/><Relationship Id="rId120" Type="http://schemas.openxmlformats.org/officeDocument/2006/relationships/hyperlink" Target="mailto:sofia.lopez20@gmail.com" TargetMode="External"/><Relationship Id="rId28" Type="http://schemas.openxmlformats.org/officeDocument/2006/relationships/hyperlink" Target="mailto:alejandro.torres56@company.com" TargetMode="External"/><Relationship Id="rId27" Type="http://schemas.openxmlformats.org/officeDocument/2006/relationships/hyperlink" Target="mailto:fernando.morales39@company.com" TargetMode="External"/><Relationship Id="rId125" Type="http://schemas.openxmlformats.org/officeDocument/2006/relationships/hyperlink" Target="mailto:david.sanchez3@company.com" TargetMode="External"/><Relationship Id="rId29" Type="http://schemas.openxmlformats.org/officeDocument/2006/relationships/hyperlink" Target="mailto:alejandro.ramirez44@company.com" TargetMode="External"/><Relationship Id="rId124" Type="http://schemas.openxmlformats.org/officeDocument/2006/relationships/hyperlink" Target="mailto:manuel.rivera5@company.com" TargetMode="External"/><Relationship Id="rId123" Type="http://schemas.openxmlformats.org/officeDocument/2006/relationships/hyperlink" Target="mailto:paula.flores21@mail.com" TargetMode="External"/><Relationship Id="rId122" Type="http://schemas.openxmlformats.org/officeDocument/2006/relationships/hyperlink" Target="mailto:maria.ortiz31@gmail.com" TargetMode="External"/><Relationship Id="rId95" Type="http://schemas.openxmlformats.org/officeDocument/2006/relationships/hyperlink" Target="mailto:david.navarro78@company.com" TargetMode="External"/><Relationship Id="rId94" Type="http://schemas.openxmlformats.org/officeDocument/2006/relationships/hyperlink" Target="mailto:jose.gomez22@gmail.com" TargetMode="External"/><Relationship Id="rId97" Type="http://schemas.openxmlformats.org/officeDocument/2006/relationships/hyperlink" Target="mailto:patricia.vargas46@mail.com" TargetMode="External"/><Relationship Id="rId96" Type="http://schemas.openxmlformats.org/officeDocument/2006/relationships/hyperlink" Target="mailto:fernando.diaz28@gmail.com" TargetMode="External"/><Relationship Id="rId11" Type="http://schemas.openxmlformats.org/officeDocument/2006/relationships/hyperlink" Target="mailto:patricia.perez5@outlook.com" TargetMode="External"/><Relationship Id="rId99" Type="http://schemas.openxmlformats.org/officeDocument/2006/relationships/hyperlink" Target="mailto:valeria.castro17@gmail.com" TargetMode="External"/><Relationship Id="rId10" Type="http://schemas.openxmlformats.org/officeDocument/2006/relationships/hyperlink" Target="mailto:manuel.lopez9@outlook.com" TargetMode="External"/><Relationship Id="rId98" Type="http://schemas.openxmlformats.org/officeDocument/2006/relationships/hyperlink" Target="mailto:ana.lopez5@mail.com" TargetMode="External"/><Relationship Id="rId13" Type="http://schemas.openxmlformats.org/officeDocument/2006/relationships/hyperlink" Target="mailto:natalia.ortiz66@gmail.com" TargetMode="External"/><Relationship Id="rId12" Type="http://schemas.openxmlformats.org/officeDocument/2006/relationships/hyperlink" Target="mailto:andres.martinez22@mail.com" TargetMode="External"/><Relationship Id="rId91" Type="http://schemas.openxmlformats.org/officeDocument/2006/relationships/hyperlink" Target="mailto:sergio.gomez44@mail.com" TargetMode="External"/><Relationship Id="rId90" Type="http://schemas.openxmlformats.org/officeDocument/2006/relationships/hyperlink" Target="mailto:carolina.garcia98@mail.com" TargetMode="External"/><Relationship Id="rId93" Type="http://schemas.openxmlformats.org/officeDocument/2006/relationships/hyperlink" Target="mailto:carolina.navarro58@gmail.com" TargetMode="External"/><Relationship Id="rId92" Type="http://schemas.openxmlformats.org/officeDocument/2006/relationships/hyperlink" Target="mailto:sergio.navarro85@gmail.com" TargetMode="External"/><Relationship Id="rId118" Type="http://schemas.openxmlformats.org/officeDocument/2006/relationships/hyperlink" Target="mailto:david.gonzalez67@outlook.com" TargetMode="External"/><Relationship Id="rId117" Type="http://schemas.openxmlformats.org/officeDocument/2006/relationships/hyperlink" Target="mailto:daniel.diaz37@outlook.com" TargetMode="External"/><Relationship Id="rId116" Type="http://schemas.openxmlformats.org/officeDocument/2006/relationships/hyperlink" Target="mailto:daniel.gomez70@outlook.com" TargetMode="External"/><Relationship Id="rId115" Type="http://schemas.openxmlformats.org/officeDocument/2006/relationships/hyperlink" Target="mailto:lucia.diaz1@company.com" TargetMode="External"/><Relationship Id="rId119" Type="http://schemas.openxmlformats.org/officeDocument/2006/relationships/hyperlink" Target="mailto:diego.hernandez61@gmail.com" TargetMode="External"/><Relationship Id="rId15" Type="http://schemas.openxmlformats.org/officeDocument/2006/relationships/hyperlink" Target="mailto:sergio.ortiz49@company.com" TargetMode="External"/><Relationship Id="rId110" Type="http://schemas.openxmlformats.org/officeDocument/2006/relationships/hyperlink" Target="mailto:andres.gonzalez89@gmail.com" TargetMode="External"/><Relationship Id="rId14" Type="http://schemas.openxmlformats.org/officeDocument/2006/relationships/hyperlink" Target="mailto:camila.torres47@company.com" TargetMode="External"/><Relationship Id="rId17" Type="http://schemas.openxmlformats.org/officeDocument/2006/relationships/hyperlink" Target="mailto:javier.martinez59@mail.com" TargetMode="External"/><Relationship Id="rId16" Type="http://schemas.openxmlformats.org/officeDocument/2006/relationships/hyperlink" Target="mailto:javier.diaz69@gmail.com" TargetMode="External"/><Relationship Id="rId19" Type="http://schemas.openxmlformats.org/officeDocument/2006/relationships/hyperlink" Target="mailto:luis.rodriguez98@gmail.com" TargetMode="External"/><Relationship Id="rId114" Type="http://schemas.openxmlformats.org/officeDocument/2006/relationships/hyperlink" Target="mailto:lucia.vargas98@gmail.com" TargetMode="External"/><Relationship Id="rId18" Type="http://schemas.openxmlformats.org/officeDocument/2006/relationships/hyperlink" Target="mailto:isabel.gomez32@mail.com" TargetMode="External"/><Relationship Id="rId113" Type="http://schemas.openxmlformats.org/officeDocument/2006/relationships/hyperlink" Target="mailto:luis.hernandez26@mail.com" TargetMode="External"/><Relationship Id="rId112" Type="http://schemas.openxmlformats.org/officeDocument/2006/relationships/hyperlink" Target="mailto:raul.vargas51@gmail.com" TargetMode="External"/><Relationship Id="rId111" Type="http://schemas.openxmlformats.org/officeDocument/2006/relationships/hyperlink" Target="mailto:manuel.vargas39@mail.com" TargetMode="External"/><Relationship Id="rId84" Type="http://schemas.openxmlformats.org/officeDocument/2006/relationships/hyperlink" Target="mailto:ana.flores62@gmail.com" TargetMode="External"/><Relationship Id="rId83" Type="http://schemas.openxmlformats.org/officeDocument/2006/relationships/hyperlink" Target="mailto:laura.rivera45@gmail.com" TargetMode="External"/><Relationship Id="rId86" Type="http://schemas.openxmlformats.org/officeDocument/2006/relationships/hyperlink" Target="mailto:patricia.rodriguez74@mail.com" TargetMode="External"/><Relationship Id="rId85" Type="http://schemas.openxmlformats.org/officeDocument/2006/relationships/hyperlink" Target="mailto:valeria.castro40@mail.com" TargetMode="External"/><Relationship Id="rId88" Type="http://schemas.openxmlformats.org/officeDocument/2006/relationships/hyperlink" Target="mailto:luis.morales55@company.com" TargetMode="External"/><Relationship Id="rId150" Type="http://schemas.openxmlformats.org/officeDocument/2006/relationships/hyperlink" Target="mailto:manuel.martinez2@gmail.com" TargetMode="External"/><Relationship Id="rId87" Type="http://schemas.openxmlformats.org/officeDocument/2006/relationships/hyperlink" Target="mailto:luis.gonzalez69@gmail.com" TargetMode="External"/><Relationship Id="rId89" Type="http://schemas.openxmlformats.org/officeDocument/2006/relationships/hyperlink" Target="mailto:david.gonzalez31@gmail.com" TargetMode="External"/><Relationship Id="rId80" Type="http://schemas.openxmlformats.org/officeDocument/2006/relationships/hyperlink" Target="mailto:ana.garcia24@mail.com" TargetMode="External"/><Relationship Id="rId82" Type="http://schemas.openxmlformats.org/officeDocument/2006/relationships/hyperlink" Target="mailto:isabel.gonzalez3@company.com" TargetMode="External"/><Relationship Id="rId81" Type="http://schemas.openxmlformats.org/officeDocument/2006/relationships/hyperlink" Target="mailto:laura.gomez3@company.com" TargetMode="External"/><Relationship Id="rId1" Type="http://schemas.openxmlformats.org/officeDocument/2006/relationships/hyperlink" Target="mailto:alejandro.navarro94@company.com" TargetMode="External"/><Relationship Id="rId2" Type="http://schemas.openxmlformats.org/officeDocument/2006/relationships/hyperlink" Target="mailto:valeria.rivera98@outlook.com" TargetMode="External"/><Relationship Id="rId3" Type="http://schemas.openxmlformats.org/officeDocument/2006/relationships/hyperlink" Target="mailto:carlos.navarro11@mail.com" TargetMode="External"/><Relationship Id="rId149" Type="http://schemas.openxmlformats.org/officeDocument/2006/relationships/hyperlink" Target="mailto:daniel.ramirez25@outlook.com" TargetMode="External"/><Relationship Id="rId4" Type="http://schemas.openxmlformats.org/officeDocument/2006/relationships/hyperlink" Target="mailto:maria.gonzalez3@outlook.com" TargetMode="External"/><Relationship Id="rId148" Type="http://schemas.openxmlformats.org/officeDocument/2006/relationships/hyperlink" Target="mailto:laura.torres19@gmail.com" TargetMode="External"/><Relationship Id="rId9" Type="http://schemas.openxmlformats.org/officeDocument/2006/relationships/hyperlink" Target="mailto:miguel.rodriguez72@outlook.com" TargetMode="External"/><Relationship Id="rId143" Type="http://schemas.openxmlformats.org/officeDocument/2006/relationships/hyperlink" Target="mailto:andres.romero91@gmail.com" TargetMode="External"/><Relationship Id="rId142" Type="http://schemas.openxmlformats.org/officeDocument/2006/relationships/hyperlink" Target="mailto:paula.flores40@gmail.com" TargetMode="External"/><Relationship Id="rId141" Type="http://schemas.openxmlformats.org/officeDocument/2006/relationships/hyperlink" Target="mailto:jose.castro34@gmail.com" TargetMode="External"/><Relationship Id="rId140" Type="http://schemas.openxmlformats.org/officeDocument/2006/relationships/hyperlink" Target="mailto:gabriela.ramirez34@outlook.com" TargetMode="External"/><Relationship Id="rId5" Type="http://schemas.openxmlformats.org/officeDocument/2006/relationships/hyperlink" Target="mailto:carolina.navarro41@gmail.com" TargetMode="External"/><Relationship Id="rId147" Type="http://schemas.openxmlformats.org/officeDocument/2006/relationships/hyperlink" Target="mailto:manuel.gomez96@mail.com" TargetMode="External"/><Relationship Id="rId6" Type="http://schemas.openxmlformats.org/officeDocument/2006/relationships/hyperlink" Target="mailto:paula.diaz25@outlook.com" TargetMode="External"/><Relationship Id="rId146" Type="http://schemas.openxmlformats.org/officeDocument/2006/relationships/hyperlink" Target="mailto:david.romero42@gmail.com" TargetMode="External"/><Relationship Id="rId7" Type="http://schemas.openxmlformats.org/officeDocument/2006/relationships/hyperlink" Target="mailto:maria.rivera61@outlook.com" TargetMode="External"/><Relationship Id="rId145" Type="http://schemas.openxmlformats.org/officeDocument/2006/relationships/hyperlink" Target="mailto:laura.rivera43@company.com" TargetMode="External"/><Relationship Id="rId8" Type="http://schemas.openxmlformats.org/officeDocument/2006/relationships/hyperlink" Target="mailto:patricia.martinez26@gmail.com" TargetMode="External"/><Relationship Id="rId144" Type="http://schemas.openxmlformats.org/officeDocument/2006/relationships/hyperlink" Target="mailto:LUIS.FLORES66@GMAIL.COM" TargetMode="External"/><Relationship Id="rId73" Type="http://schemas.openxmlformats.org/officeDocument/2006/relationships/hyperlink" Target="mailto:isabel.rivera15@outlook.com" TargetMode="External"/><Relationship Id="rId72" Type="http://schemas.openxmlformats.org/officeDocument/2006/relationships/hyperlink" Target="mailto:marta.rivera75@outlook.com" TargetMode="External"/><Relationship Id="rId75" Type="http://schemas.openxmlformats.org/officeDocument/2006/relationships/hyperlink" Target="mailto:manuel.rodriguez68@gmail.com" TargetMode="External"/><Relationship Id="rId74" Type="http://schemas.openxmlformats.org/officeDocument/2006/relationships/hyperlink" Target="mailto:sergio.garcia86@outlook.com" TargetMode="External"/><Relationship Id="rId77" Type="http://schemas.openxmlformats.org/officeDocument/2006/relationships/hyperlink" Target="mailto:isabel.gomez42@mail.com" TargetMode="External"/><Relationship Id="rId76" Type="http://schemas.openxmlformats.org/officeDocument/2006/relationships/hyperlink" Target="mailto:david.rodriguez27@company.com" TargetMode="External"/><Relationship Id="rId79" Type="http://schemas.openxmlformats.org/officeDocument/2006/relationships/hyperlink" Target="mailto:luis.morales26@gmail.com" TargetMode="External"/><Relationship Id="rId78" Type="http://schemas.openxmlformats.org/officeDocument/2006/relationships/hyperlink" Target="mailto:daniel.diaz68@gmail.com" TargetMode="External"/><Relationship Id="rId71" Type="http://schemas.openxmlformats.org/officeDocument/2006/relationships/hyperlink" Target="mailto:fernando.ramirez67@company.com" TargetMode="External"/><Relationship Id="rId70" Type="http://schemas.openxmlformats.org/officeDocument/2006/relationships/hyperlink" Target="mailto:carolina.ortiz69@gmail.com" TargetMode="External"/><Relationship Id="rId139" Type="http://schemas.openxmlformats.org/officeDocument/2006/relationships/hyperlink" Target="mailto:fernando.ramirez1@gmail.com" TargetMode="External"/><Relationship Id="rId138" Type="http://schemas.openxmlformats.org/officeDocument/2006/relationships/hyperlink" Target="mailto:lucia.flores76@company.com" TargetMode="External"/><Relationship Id="rId137" Type="http://schemas.openxmlformats.org/officeDocument/2006/relationships/hyperlink" Target="mailto:ricardo.torres8@gmail.com" TargetMode="External"/><Relationship Id="rId132" Type="http://schemas.openxmlformats.org/officeDocument/2006/relationships/hyperlink" Target="mailto:carlos.morales7@company.com" TargetMode="External"/><Relationship Id="rId131" Type="http://schemas.openxmlformats.org/officeDocument/2006/relationships/hyperlink" Target="mailto:andres.sanchez5@gmail.com" TargetMode="External"/><Relationship Id="rId130" Type="http://schemas.openxmlformats.org/officeDocument/2006/relationships/hyperlink" Target="mailto:paula.castro12@company.com" TargetMode="External"/><Relationship Id="rId136" Type="http://schemas.openxmlformats.org/officeDocument/2006/relationships/hyperlink" Target="mailto:paula.lopez87@outlook.com" TargetMode="External"/><Relationship Id="rId135" Type="http://schemas.openxmlformats.org/officeDocument/2006/relationships/hyperlink" Target="mailto:fernando.flores76@company.com" TargetMode="External"/><Relationship Id="rId134" Type="http://schemas.openxmlformats.org/officeDocument/2006/relationships/hyperlink" Target="mailto:lucia.ortiz70@company.com" TargetMode="External"/><Relationship Id="rId133" Type="http://schemas.openxmlformats.org/officeDocument/2006/relationships/hyperlink" Target="mailto:maria.morales26@outlook.com" TargetMode="External"/><Relationship Id="rId62" Type="http://schemas.openxmlformats.org/officeDocument/2006/relationships/hyperlink" Target="mailto:elena.torres41@mail.com" TargetMode="External"/><Relationship Id="rId61" Type="http://schemas.openxmlformats.org/officeDocument/2006/relationships/hyperlink" Target="mailto:carlos.lopez95@outlook.com" TargetMode="External"/><Relationship Id="rId64" Type="http://schemas.openxmlformats.org/officeDocument/2006/relationships/hyperlink" Target="mailto:elena.vargas90@company.com" TargetMode="External"/><Relationship Id="rId63" Type="http://schemas.openxmlformats.org/officeDocument/2006/relationships/hyperlink" Target="mailto:camila.hernandez7@gmail.com" TargetMode="External"/><Relationship Id="rId66" Type="http://schemas.openxmlformats.org/officeDocument/2006/relationships/hyperlink" Target="mailto:laura.martinez8@company.com" TargetMode="External"/><Relationship Id="rId172" Type="http://schemas.openxmlformats.org/officeDocument/2006/relationships/hyperlink" Target="mailto:lucia.castro29@gmail.com" TargetMode="External"/><Relationship Id="rId65" Type="http://schemas.openxmlformats.org/officeDocument/2006/relationships/hyperlink" Target="mailto:andres.gomez55@mail.com" TargetMode="External"/><Relationship Id="rId171" Type="http://schemas.openxmlformats.org/officeDocument/2006/relationships/hyperlink" Target="mailto:diego.castro2@outlook.com" TargetMode="External"/><Relationship Id="rId68" Type="http://schemas.openxmlformats.org/officeDocument/2006/relationships/hyperlink" Target="mailto:camila.gonzalez86@mail.com" TargetMode="External"/><Relationship Id="rId170" Type="http://schemas.openxmlformats.org/officeDocument/2006/relationships/hyperlink" Target="mailto:david.vargas77@company.com" TargetMode="External"/><Relationship Id="rId67" Type="http://schemas.openxmlformats.org/officeDocument/2006/relationships/hyperlink" Target="mailto:david.ortiz26@mail.com" TargetMode="External"/><Relationship Id="rId60" Type="http://schemas.openxmlformats.org/officeDocument/2006/relationships/hyperlink" Target="mailto:isabel.hernandez64@outlook.com" TargetMode="External"/><Relationship Id="rId165" Type="http://schemas.openxmlformats.org/officeDocument/2006/relationships/hyperlink" Target="mailto:sergio.sanchez42@gmail.com" TargetMode="External"/><Relationship Id="rId69" Type="http://schemas.openxmlformats.org/officeDocument/2006/relationships/hyperlink" Target="mailto:ricardo.lopez5@mail.com" TargetMode="External"/><Relationship Id="rId164" Type="http://schemas.openxmlformats.org/officeDocument/2006/relationships/hyperlink" Target="mailto:patricia.diaz44@mail.com" TargetMode="External"/><Relationship Id="rId163" Type="http://schemas.openxmlformats.org/officeDocument/2006/relationships/hyperlink" Target="mailto:isabel.ortiz35@gmail.com" TargetMode="External"/><Relationship Id="rId162" Type="http://schemas.openxmlformats.org/officeDocument/2006/relationships/hyperlink" Target="mailto:carlos.hernandez52@outlook.com" TargetMode="External"/><Relationship Id="rId169" Type="http://schemas.openxmlformats.org/officeDocument/2006/relationships/hyperlink" Target="mailto:javier.vargas25@gmail.com" TargetMode="External"/><Relationship Id="rId168" Type="http://schemas.openxmlformats.org/officeDocument/2006/relationships/hyperlink" Target="mailto:luis.romero32@mail.com" TargetMode="External"/><Relationship Id="rId167" Type="http://schemas.openxmlformats.org/officeDocument/2006/relationships/hyperlink" Target="mailto:isabel.torres94@mail.com" TargetMode="External"/><Relationship Id="rId166" Type="http://schemas.openxmlformats.org/officeDocument/2006/relationships/hyperlink" Target="mailto:paula.garcia31@outlook.com" TargetMode="External"/><Relationship Id="rId51" Type="http://schemas.openxmlformats.org/officeDocument/2006/relationships/hyperlink" Target="mailto:natalia.rodriguez44@mail.com" TargetMode="External"/><Relationship Id="rId50" Type="http://schemas.openxmlformats.org/officeDocument/2006/relationships/hyperlink" Target="mailto:patricia.rodriguez52@outlook.com" TargetMode="External"/><Relationship Id="rId53" Type="http://schemas.openxmlformats.org/officeDocument/2006/relationships/hyperlink" Target="mailto:ricardo.morales60@mail.com" TargetMode="External"/><Relationship Id="rId52" Type="http://schemas.openxmlformats.org/officeDocument/2006/relationships/hyperlink" Target="mailto:maria.rodriguez23@gmail.com" TargetMode="External"/><Relationship Id="rId55" Type="http://schemas.openxmlformats.org/officeDocument/2006/relationships/hyperlink" Target="mailto:patricia.castro89@mail.com" TargetMode="External"/><Relationship Id="rId161" Type="http://schemas.openxmlformats.org/officeDocument/2006/relationships/hyperlink" Target="mailto:maria.gomez45@company.com" TargetMode="External"/><Relationship Id="rId54" Type="http://schemas.openxmlformats.org/officeDocument/2006/relationships/hyperlink" Target="mailto:JAVIER.MARTINEZ58@MAIL.COM" TargetMode="External"/><Relationship Id="rId160" Type="http://schemas.openxmlformats.org/officeDocument/2006/relationships/hyperlink" Target="mailto:fernando.vargas89@gmail.com" TargetMode="External"/><Relationship Id="rId57" Type="http://schemas.openxmlformats.org/officeDocument/2006/relationships/hyperlink" Target="mailto:fernando.diaz13@mail.com" TargetMode="External"/><Relationship Id="rId56" Type="http://schemas.openxmlformats.org/officeDocument/2006/relationships/hyperlink" Target="mailto:andres.morales46@company.com" TargetMode="External"/><Relationship Id="rId159" Type="http://schemas.openxmlformats.org/officeDocument/2006/relationships/hyperlink" Target="mailto:isabel.castro42@company.com" TargetMode="External"/><Relationship Id="rId59" Type="http://schemas.openxmlformats.org/officeDocument/2006/relationships/hyperlink" Target="mailto:javier.flores94@company.com" TargetMode="External"/><Relationship Id="rId154" Type="http://schemas.openxmlformats.org/officeDocument/2006/relationships/hyperlink" Target="mailto:andres.castro65@outlook.com" TargetMode="External"/><Relationship Id="rId58" Type="http://schemas.openxmlformats.org/officeDocument/2006/relationships/hyperlink" Target="mailto:carlos.perez33@gmail.com" TargetMode="External"/><Relationship Id="rId153" Type="http://schemas.openxmlformats.org/officeDocument/2006/relationships/hyperlink" Target="mailto:alejandro.gonzalez30@mail.com" TargetMode="External"/><Relationship Id="rId152" Type="http://schemas.openxmlformats.org/officeDocument/2006/relationships/hyperlink" Target="mailto:lucia.romero64@mail.com" TargetMode="External"/><Relationship Id="rId151" Type="http://schemas.openxmlformats.org/officeDocument/2006/relationships/hyperlink" Target="mailto:raul.perez31@outlook.com" TargetMode="External"/><Relationship Id="rId158" Type="http://schemas.openxmlformats.org/officeDocument/2006/relationships/hyperlink" Target="mailto:valeria.vargas97@company.com" TargetMode="External"/><Relationship Id="rId157" Type="http://schemas.openxmlformats.org/officeDocument/2006/relationships/hyperlink" Target="mailto:PATRICIA.RIVERA43@OUTLOOK.COM" TargetMode="External"/><Relationship Id="rId156" Type="http://schemas.openxmlformats.org/officeDocument/2006/relationships/hyperlink" Target="mailto:ana.castro42@gmail.com" TargetMode="External"/><Relationship Id="rId155" Type="http://schemas.openxmlformats.org/officeDocument/2006/relationships/hyperlink" Target="mailto:manuel.sanchez24@gmail.com" TargetMode="External"/></Relationships>
</file>

<file path=xl/worksheets/_rels/sheet8.xml.rels><?xml version="1.0" encoding="UTF-8" standalone="yes"?><Relationships xmlns="http://schemas.openxmlformats.org/package/2006/relationships"><Relationship Id="rId40" Type="http://schemas.openxmlformats.org/officeDocument/2006/relationships/hyperlink" Target="mailto:carolina.flores80@mail.com" TargetMode="External"/><Relationship Id="rId42" Type="http://schemas.openxmlformats.org/officeDocument/2006/relationships/hyperlink" Target="mailto:maria.ortiz54@outlook.com" TargetMode="External"/><Relationship Id="rId41" Type="http://schemas.openxmlformats.org/officeDocument/2006/relationships/hyperlink" Target="mailto:sofia.morales41@gmail.com" TargetMode="External"/><Relationship Id="rId44" Type="http://schemas.openxmlformats.org/officeDocument/2006/relationships/hyperlink" Target="mailto:camila.diaz36@mail.com" TargetMode="External"/><Relationship Id="rId43" Type="http://schemas.openxmlformats.org/officeDocument/2006/relationships/hyperlink" Target="mailto:natalia.sanchez62@company.com" TargetMode="External"/><Relationship Id="rId46" Type="http://schemas.openxmlformats.org/officeDocument/2006/relationships/hyperlink" Target="mailto:luis.flores7@company.com" TargetMode="External"/><Relationship Id="rId45" Type="http://schemas.openxmlformats.org/officeDocument/2006/relationships/hyperlink" Target="mailto:sofia.vargas36@mail.com" TargetMode="External"/><Relationship Id="rId107" Type="http://schemas.openxmlformats.org/officeDocument/2006/relationships/hyperlink" Target="mailto:david.flores57@outlook.com" TargetMode="External"/><Relationship Id="rId106" Type="http://schemas.openxmlformats.org/officeDocument/2006/relationships/hyperlink" Target="mailto:alejandro.morales37@company.com" TargetMode="External"/><Relationship Id="rId105" Type="http://schemas.openxmlformats.org/officeDocument/2006/relationships/hyperlink" Target="mailto:jose.gomez79@mail.com" TargetMode="External"/><Relationship Id="rId104" Type="http://schemas.openxmlformats.org/officeDocument/2006/relationships/hyperlink" Target="mailto:miguel.ramirez23@mail.com" TargetMode="External"/><Relationship Id="rId109" Type="http://schemas.openxmlformats.org/officeDocument/2006/relationships/hyperlink" Target="mailto:carolina.rivera48@mail.com" TargetMode="External"/><Relationship Id="rId108" Type="http://schemas.openxmlformats.org/officeDocument/2006/relationships/hyperlink" Target="mailto:paula.lopez23@gmail.com" TargetMode="External"/><Relationship Id="rId48" Type="http://schemas.openxmlformats.org/officeDocument/2006/relationships/hyperlink" Target="mailto:lucia.garcia2@outlook.com" TargetMode="External"/><Relationship Id="rId47" Type="http://schemas.openxmlformats.org/officeDocument/2006/relationships/hyperlink" Target="mailto:CARLOS.PEREZ33@GMAIL.COM" TargetMode="External"/><Relationship Id="rId186" Type="http://schemas.openxmlformats.org/officeDocument/2006/relationships/drawing" Target="../drawings/drawing8.xml"/><Relationship Id="rId185" Type="http://schemas.openxmlformats.org/officeDocument/2006/relationships/hyperlink" Target="mailto:VALERIA.ROMERO51@MAIL.COM" TargetMode="External"/><Relationship Id="rId49" Type="http://schemas.openxmlformats.org/officeDocument/2006/relationships/hyperlink" Target="mailto:maria.sanchez18@outlook.com" TargetMode="External"/><Relationship Id="rId184" Type="http://schemas.openxmlformats.org/officeDocument/2006/relationships/hyperlink" Target="mailto:VALERIA.ROMERO51@MAIL.COM" TargetMode="External"/><Relationship Id="rId103" Type="http://schemas.openxmlformats.org/officeDocument/2006/relationships/hyperlink" Target="mailto:ana.hernandez93@outlook.com" TargetMode="External"/><Relationship Id="rId102" Type="http://schemas.openxmlformats.org/officeDocument/2006/relationships/hyperlink" Target="mailto:miguel.castro98@mail.com" TargetMode="External"/><Relationship Id="rId101" Type="http://schemas.openxmlformats.org/officeDocument/2006/relationships/hyperlink" Target="mailto:manuel.castro90@company.com" TargetMode="External"/><Relationship Id="rId100" Type="http://schemas.openxmlformats.org/officeDocument/2006/relationships/hyperlink" Target="mailto:valeria.garcia11@outlook.com" TargetMode="External"/><Relationship Id="rId188" Type="http://schemas.openxmlformats.org/officeDocument/2006/relationships/table" Target="../tables/table4.xml"/><Relationship Id="rId31" Type="http://schemas.openxmlformats.org/officeDocument/2006/relationships/hyperlink" Target="mailto:diego.navarro64@mail.com" TargetMode="External"/><Relationship Id="rId30" Type="http://schemas.openxmlformats.org/officeDocument/2006/relationships/hyperlink" Target="mailto:raul.rodriguez57@gmail.com" TargetMode="External"/><Relationship Id="rId33" Type="http://schemas.openxmlformats.org/officeDocument/2006/relationships/hyperlink" Target="mailto:manuel.morales27@gmail.com" TargetMode="External"/><Relationship Id="rId183" Type="http://schemas.openxmlformats.org/officeDocument/2006/relationships/hyperlink" Target="mailto:valeria.rivera98@outlook.com" TargetMode="External"/><Relationship Id="rId32" Type="http://schemas.openxmlformats.org/officeDocument/2006/relationships/hyperlink" Target="mailto:andres.sanchez74@outlook.com" TargetMode="External"/><Relationship Id="rId182" Type="http://schemas.openxmlformats.org/officeDocument/2006/relationships/hyperlink" Target="mailto:valeria.rivera98@outlook.com" TargetMode="External"/><Relationship Id="rId35" Type="http://schemas.openxmlformats.org/officeDocument/2006/relationships/hyperlink" Target="mailto:patricia.diaz43@company.com" TargetMode="External"/><Relationship Id="rId181" Type="http://schemas.openxmlformats.org/officeDocument/2006/relationships/hyperlink" Target="mailto:sergio.gomez90@outlook.com" TargetMode="External"/><Relationship Id="rId34" Type="http://schemas.openxmlformats.org/officeDocument/2006/relationships/hyperlink" Target="mailto:alejandro.sanchez42@mail.com" TargetMode="External"/><Relationship Id="rId180" Type="http://schemas.openxmlformats.org/officeDocument/2006/relationships/hyperlink" Target="mailto:sergio.gomez90@outlook.com" TargetMode="External"/><Relationship Id="rId37" Type="http://schemas.openxmlformats.org/officeDocument/2006/relationships/hyperlink" Target="mailto:fernando.romero63@gmail.com" TargetMode="External"/><Relationship Id="rId176" Type="http://schemas.openxmlformats.org/officeDocument/2006/relationships/hyperlink" Target="mailto:lucia.rodriguez52@company.com" TargetMode="External"/><Relationship Id="rId36" Type="http://schemas.openxmlformats.org/officeDocument/2006/relationships/hyperlink" Target="mailto:david.torres10@company.com" TargetMode="External"/><Relationship Id="rId175" Type="http://schemas.openxmlformats.org/officeDocument/2006/relationships/hyperlink" Target="mailto:miguel.martinez42@mail.com" TargetMode="External"/><Relationship Id="rId39" Type="http://schemas.openxmlformats.org/officeDocument/2006/relationships/hyperlink" Target="mailto:isabel.ortiz36@mail.com" TargetMode="External"/><Relationship Id="rId174" Type="http://schemas.openxmlformats.org/officeDocument/2006/relationships/hyperlink" Target="mailto:elena.diaz46@gmail.com" TargetMode="External"/><Relationship Id="rId38" Type="http://schemas.openxmlformats.org/officeDocument/2006/relationships/hyperlink" Target="mailto:fernando.rivera80@company.com" TargetMode="External"/><Relationship Id="rId173" Type="http://schemas.openxmlformats.org/officeDocument/2006/relationships/hyperlink" Target="mailto:raul.perez66@mail.com" TargetMode="External"/><Relationship Id="rId179" Type="http://schemas.openxmlformats.org/officeDocument/2006/relationships/hyperlink" Target="mailto:paula.diaz25@outlook.com" TargetMode="External"/><Relationship Id="rId178" Type="http://schemas.openxmlformats.org/officeDocument/2006/relationships/hyperlink" Target="mailto:paula.diaz25@outlook.com" TargetMode="External"/><Relationship Id="rId177" Type="http://schemas.openxmlformats.org/officeDocument/2006/relationships/hyperlink" Target="mailto:PATRICIA.MARTINEZ26@GMAIL.COM" TargetMode="External"/><Relationship Id="rId20" Type="http://schemas.openxmlformats.org/officeDocument/2006/relationships/hyperlink" Target="mailto:natalia.diaz38@mail.com" TargetMode="External"/><Relationship Id="rId22" Type="http://schemas.openxmlformats.org/officeDocument/2006/relationships/hyperlink" Target="mailto:carlos.perez33@gmail.com" TargetMode="External"/><Relationship Id="rId21" Type="http://schemas.openxmlformats.org/officeDocument/2006/relationships/hyperlink" Target="mailto:daniel.flores94@outlook.com" TargetMode="External"/><Relationship Id="rId24" Type="http://schemas.openxmlformats.org/officeDocument/2006/relationships/hyperlink" Target="mailto:sergio.hernandez12@outlook.com" TargetMode="External"/><Relationship Id="rId23" Type="http://schemas.openxmlformats.org/officeDocument/2006/relationships/hyperlink" Target="mailto:raul.hernandez69@company.com" TargetMode="External"/><Relationship Id="rId129" Type="http://schemas.openxmlformats.org/officeDocument/2006/relationships/hyperlink" Target="mailto:raul.sanchez96@outlook.com" TargetMode="External"/><Relationship Id="rId128" Type="http://schemas.openxmlformats.org/officeDocument/2006/relationships/hyperlink" Target="mailto:luis.flores57@company.com" TargetMode="External"/><Relationship Id="rId127" Type="http://schemas.openxmlformats.org/officeDocument/2006/relationships/hyperlink" Target="mailto:patricia.diaz3@mail.com" TargetMode="External"/><Relationship Id="rId126" Type="http://schemas.openxmlformats.org/officeDocument/2006/relationships/hyperlink" Target="mailto:jose.martinez32@outlook.com" TargetMode="External"/><Relationship Id="rId26" Type="http://schemas.openxmlformats.org/officeDocument/2006/relationships/hyperlink" Target="mailto:diego.garcia78@gmail.com" TargetMode="External"/><Relationship Id="rId121" Type="http://schemas.openxmlformats.org/officeDocument/2006/relationships/hyperlink" Target="mailto:sofia.diaz89@mail.com" TargetMode="External"/><Relationship Id="rId25" Type="http://schemas.openxmlformats.org/officeDocument/2006/relationships/hyperlink" Target="mailto:paula.diaz76@mail.com" TargetMode="External"/><Relationship Id="rId120" Type="http://schemas.openxmlformats.org/officeDocument/2006/relationships/hyperlink" Target="mailto:sofia.lopez20@gmail.com" TargetMode="External"/><Relationship Id="rId28" Type="http://schemas.openxmlformats.org/officeDocument/2006/relationships/hyperlink" Target="mailto:alejandro.torres56@company.com" TargetMode="External"/><Relationship Id="rId27" Type="http://schemas.openxmlformats.org/officeDocument/2006/relationships/hyperlink" Target="mailto:fernando.morales39@company.com" TargetMode="External"/><Relationship Id="rId125" Type="http://schemas.openxmlformats.org/officeDocument/2006/relationships/hyperlink" Target="mailto:david.sanchez3@company.com" TargetMode="External"/><Relationship Id="rId29" Type="http://schemas.openxmlformats.org/officeDocument/2006/relationships/hyperlink" Target="mailto:alejandro.ramirez44@company.com" TargetMode="External"/><Relationship Id="rId124" Type="http://schemas.openxmlformats.org/officeDocument/2006/relationships/hyperlink" Target="mailto:manuel.rivera5@company.com" TargetMode="External"/><Relationship Id="rId123" Type="http://schemas.openxmlformats.org/officeDocument/2006/relationships/hyperlink" Target="mailto:paula.flores21@mail.com" TargetMode="External"/><Relationship Id="rId122" Type="http://schemas.openxmlformats.org/officeDocument/2006/relationships/hyperlink" Target="mailto:maria.ortiz31@gmail.com" TargetMode="External"/><Relationship Id="rId95" Type="http://schemas.openxmlformats.org/officeDocument/2006/relationships/hyperlink" Target="mailto:david.navarro78@company.com" TargetMode="External"/><Relationship Id="rId94" Type="http://schemas.openxmlformats.org/officeDocument/2006/relationships/hyperlink" Target="mailto:patricia.martinez26@gmail.com" TargetMode="External"/><Relationship Id="rId97" Type="http://schemas.openxmlformats.org/officeDocument/2006/relationships/hyperlink" Target="mailto:patricia.vargas46@mail.com" TargetMode="External"/><Relationship Id="rId96" Type="http://schemas.openxmlformats.org/officeDocument/2006/relationships/hyperlink" Target="mailto:fernando.diaz28@gmail.com" TargetMode="External"/><Relationship Id="rId11" Type="http://schemas.openxmlformats.org/officeDocument/2006/relationships/hyperlink" Target="mailto:patricia.perez5@outlook.com" TargetMode="External"/><Relationship Id="rId99" Type="http://schemas.openxmlformats.org/officeDocument/2006/relationships/hyperlink" Target="mailto:valeria.castro17@gmail.com" TargetMode="External"/><Relationship Id="rId10" Type="http://schemas.openxmlformats.org/officeDocument/2006/relationships/hyperlink" Target="mailto:manuel.lopez9@outlook.com" TargetMode="External"/><Relationship Id="rId98" Type="http://schemas.openxmlformats.org/officeDocument/2006/relationships/hyperlink" Target="mailto:ana.lopez5@mail.com" TargetMode="External"/><Relationship Id="rId13" Type="http://schemas.openxmlformats.org/officeDocument/2006/relationships/hyperlink" Target="mailto:natalia.ortiz66@gmail.com" TargetMode="External"/><Relationship Id="rId12" Type="http://schemas.openxmlformats.org/officeDocument/2006/relationships/hyperlink" Target="mailto:andres.martinez22@mail.com" TargetMode="External"/><Relationship Id="rId91" Type="http://schemas.openxmlformats.org/officeDocument/2006/relationships/hyperlink" Target="mailto:sergio.gomez44@mail.com" TargetMode="External"/><Relationship Id="rId90" Type="http://schemas.openxmlformats.org/officeDocument/2006/relationships/hyperlink" Target="mailto:carolina.garcia98@mail.com" TargetMode="External"/><Relationship Id="rId93" Type="http://schemas.openxmlformats.org/officeDocument/2006/relationships/hyperlink" Target="mailto:carolina.navarro58@gmail.com" TargetMode="External"/><Relationship Id="rId92" Type="http://schemas.openxmlformats.org/officeDocument/2006/relationships/hyperlink" Target="mailto:sergio.navarro85@gmail.com" TargetMode="External"/><Relationship Id="rId118" Type="http://schemas.openxmlformats.org/officeDocument/2006/relationships/hyperlink" Target="mailto:david.gonzalez67@outlook.com" TargetMode="External"/><Relationship Id="rId117" Type="http://schemas.openxmlformats.org/officeDocument/2006/relationships/hyperlink" Target="mailto:daniel.diaz37@outlook.com" TargetMode="External"/><Relationship Id="rId116" Type="http://schemas.openxmlformats.org/officeDocument/2006/relationships/hyperlink" Target="mailto:daniel.gomez70@outlook.com" TargetMode="External"/><Relationship Id="rId115" Type="http://schemas.openxmlformats.org/officeDocument/2006/relationships/hyperlink" Target="mailto:lucia.diaz1@company.com" TargetMode="External"/><Relationship Id="rId119" Type="http://schemas.openxmlformats.org/officeDocument/2006/relationships/hyperlink" Target="mailto:diego.hernandez61@gmail.com" TargetMode="External"/><Relationship Id="rId15" Type="http://schemas.openxmlformats.org/officeDocument/2006/relationships/hyperlink" Target="mailto:sergio.ortiz49@company.com" TargetMode="External"/><Relationship Id="rId110" Type="http://schemas.openxmlformats.org/officeDocument/2006/relationships/hyperlink" Target="mailto:andres.gonzalez89@gmail.com" TargetMode="External"/><Relationship Id="rId14" Type="http://schemas.openxmlformats.org/officeDocument/2006/relationships/hyperlink" Target="mailto:camila.torres47@company.com" TargetMode="External"/><Relationship Id="rId17" Type="http://schemas.openxmlformats.org/officeDocument/2006/relationships/hyperlink" Target="mailto:javier.martinez59@mail.com" TargetMode="External"/><Relationship Id="rId16" Type="http://schemas.openxmlformats.org/officeDocument/2006/relationships/hyperlink" Target="mailto:javier.diaz69@gmail.com" TargetMode="External"/><Relationship Id="rId19" Type="http://schemas.openxmlformats.org/officeDocument/2006/relationships/hyperlink" Target="mailto:luis.rodriguez98@gmail.com" TargetMode="External"/><Relationship Id="rId114" Type="http://schemas.openxmlformats.org/officeDocument/2006/relationships/hyperlink" Target="mailto:lucia.vargas98@gmail.com" TargetMode="External"/><Relationship Id="rId18" Type="http://schemas.openxmlformats.org/officeDocument/2006/relationships/hyperlink" Target="mailto:isabel.gomez32@mail.com" TargetMode="External"/><Relationship Id="rId113" Type="http://schemas.openxmlformats.org/officeDocument/2006/relationships/hyperlink" Target="mailto:luis.hernandez26@mail.com" TargetMode="External"/><Relationship Id="rId112" Type="http://schemas.openxmlformats.org/officeDocument/2006/relationships/hyperlink" Target="mailto:raul.vargas51@gmail.com" TargetMode="External"/><Relationship Id="rId111" Type="http://schemas.openxmlformats.org/officeDocument/2006/relationships/hyperlink" Target="mailto:manuel.vargas39@mail.com" TargetMode="External"/><Relationship Id="rId84" Type="http://schemas.openxmlformats.org/officeDocument/2006/relationships/hyperlink" Target="mailto:ana.flores62@gmail.com" TargetMode="External"/><Relationship Id="rId83" Type="http://schemas.openxmlformats.org/officeDocument/2006/relationships/hyperlink" Target="mailto:laura.rivera45@gmail.com" TargetMode="External"/><Relationship Id="rId86" Type="http://schemas.openxmlformats.org/officeDocument/2006/relationships/hyperlink" Target="mailto:patricia.rodriguez74@mail.com" TargetMode="External"/><Relationship Id="rId85" Type="http://schemas.openxmlformats.org/officeDocument/2006/relationships/hyperlink" Target="mailto:valeria.castro40@mail.com" TargetMode="External"/><Relationship Id="rId88" Type="http://schemas.openxmlformats.org/officeDocument/2006/relationships/hyperlink" Target="mailto:luis.morales55@company.com" TargetMode="External"/><Relationship Id="rId150" Type="http://schemas.openxmlformats.org/officeDocument/2006/relationships/hyperlink" Target="mailto:manuel.martinez2@gmail.com" TargetMode="External"/><Relationship Id="rId87" Type="http://schemas.openxmlformats.org/officeDocument/2006/relationships/hyperlink" Target="mailto:luis.gonzalez69@gmail.com" TargetMode="External"/><Relationship Id="rId89" Type="http://schemas.openxmlformats.org/officeDocument/2006/relationships/hyperlink" Target="mailto:david.gonzalez31@gmail.com" TargetMode="External"/><Relationship Id="rId80" Type="http://schemas.openxmlformats.org/officeDocument/2006/relationships/hyperlink" Target="mailto:ana.garcia24@mail.com" TargetMode="External"/><Relationship Id="rId82" Type="http://schemas.openxmlformats.org/officeDocument/2006/relationships/hyperlink" Target="mailto:isabel.gonzalez3@company.com" TargetMode="External"/><Relationship Id="rId81" Type="http://schemas.openxmlformats.org/officeDocument/2006/relationships/hyperlink" Target="mailto:laura.gomez3@company.com" TargetMode="External"/><Relationship Id="rId1" Type="http://schemas.openxmlformats.org/officeDocument/2006/relationships/hyperlink" Target="mailto:alejandro.navarro94@company.com" TargetMode="External"/><Relationship Id="rId2" Type="http://schemas.openxmlformats.org/officeDocument/2006/relationships/hyperlink" Target="mailto:camila.gonzalez86@mail.com" TargetMode="External"/><Relationship Id="rId3" Type="http://schemas.openxmlformats.org/officeDocument/2006/relationships/hyperlink" Target="mailto:carlos.navarro11@mail.com" TargetMode="External"/><Relationship Id="rId149" Type="http://schemas.openxmlformats.org/officeDocument/2006/relationships/hyperlink" Target="mailto:daniel.ramirez25@outlook.com" TargetMode="External"/><Relationship Id="rId4" Type="http://schemas.openxmlformats.org/officeDocument/2006/relationships/hyperlink" Target="mailto:maria.gonzalez3@outlook.com" TargetMode="External"/><Relationship Id="rId148" Type="http://schemas.openxmlformats.org/officeDocument/2006/relationships/hyperlink" Target="mailto:laura.torres19@gmail.com" TargetMode="External"/><Relationship Id="rId9" Type="http://schemas.openxmlformats.org/officeDocument/2006/relationships/hyperlink" Target="mailto:miguel.rodriguez72@outlook.com" TargetMode="External"/><Relationship Id="rId143" Type="http://schemas.openxmlformats.org/officeDocument/2006/relationships/hyperlink" Target="mailto:andres.romero91@gmail.com" TargetMode="External"/><Relationship Id="rId142" Type="http://schemas.openxmlformats.org/officeDocument/2006/relationships/hyperlink" Target="mailto:paula.flores40@gmail.com" TargetMode="External"/><Relationship Id="rId141" Type="http://schemas.openxmlformats.org/officeDocument/2006/relationships/hyperlink" Target="mailto:jose.castro34@gmail.com" TargetMode="External"/><Relationship Id="rId140" Type="http://schemas.openxmlformats.org/officeDocument/2006/relationships/hyperlink" Target="mailto:gabriela.ramirez34@outlook.com" TargetMode="External"/><Relationship Id="rId5" Type="http://schemas.openxmlformats.org/officeDocument/2006/relationships/hyperlink" Target="mailto:carolina.navarro41@gmail.com" TargetMode="External"/><Relationship Id="rId147" Type="http://schemas.openxmlformats.org/officeDocument/2006/relationships/hyperlink" Target="mailto:manuel.gomez96@mail.com" TargetMode="External"/><Relationship Id="rId6" Type="http://schemas.openxmlformats.org/officeDocument/2006/relationships/hyperlink" Target="mailto:camila.gonzalez86@mail.com" TargetMode="External"/><Relationship Id="rId146" Type="http://schemas.openxmlformats.org/officeDocument/2006/relationships/hyperlink" Target="mailto:david.romero42@gmail.com" TargetMode="External"/><Relationship Id="rId7" Type="http://schemas.openxmlformats.org/officeDocument/2006/relationships/hyperlink" Target="mailto:maria.rivera61@outlook.com" TargetMode="External"/><Relationship Id="rId145" Type="http://schemas.openxmlformats.org/officeDocument/2006/relationships/hyperlink" Target="mailto:laura.rivera43@company.com" TargetMode="External"/><Relationship Id="rId8" Type="http://schemas.openxmlformats.org/officeDocument/2006/relationships/hyperlink" Target="mailto:camila.torres47@company.com" TargetMode="External"/><Relationship Id="rId144" Type="http://schemas.openxmlformats.org/officeDocument/2006/relationships/hyperlink" Target="mailto:LUIS.FLORES66@GMAIL.COM" TargetMode="External"/><Relationship Id="rId73" Type="http://schemas.openxmlformats.org/officeDocument/2006/relationships/hyperlink" Target="mailto:isabel.rivera15@outlook.com" TargetMode="External"/><Relationship Id="rId72" Type="http://schemas.openxmlformats.org/officeDocument/2006/relationships/hyperlink" Target="mailto:marta.rivera75@outlook.com" TargetMode="External"/><Relationship Id="rId75" Type="http://schemas.openxmlformats.org/officeDocument/2006/relationships/hyperlink" Target="mailto:manuel.rodriguez68@gmail.com" TargetMode="External"/><Relationship Id="rId74" Type="http://schemas.openxmlformats.org/officeDocument/2006/relationships/hyperlink" Target="mailto:sergio.garcia86@outlook.com" TargetMode="External"/><Relationship Id="rId77" Type="http://schemas.openxmlformats.org/officeDocument/2006/relationships/hyperlink" Target="mailto:isabel.gomez42@mail.com" TargetMode="External"/><Relationship Id="rId76" Type="http://schemas.openxmlformats.org/officeDocument/2006/relationships/hyperlink" Target="mailto:david.rodriguez27@company.com" TargetMode="External"/><Relationship Id="rId79" Type="http://schemas.openxmlformats.org/officeDocument/2006/relationships/hyperlink" Target="mailto:luis.morales26@gmail.com" TargetMode="External"/><Relationship Id="rId78" Type="http://schemas.openxmlformats.org/officeDocument/2006/relationships/hyperlink" Target="mailto:daniel.diaz68@gmail.com" TargetMode="External"/><Relationship Id="rId71" Type="http://schemas.openxmlformats.org/officeDocument/2006/relationships/hyperlink" Target="mailto:fernando.ramirez67@company.com" TargetMode="External"/><Relationship Id="rId70" Type="http://schemas.openxmlformats.org/officeDocument/2006/relationships/hyperlink" Target="mailto:carolina.ortiz69@gmail.com" TargetMode="External"/><Relationship Id="rId139" Type="http://schemas.openxmlformats.org/officeDocument/2006/relationships/hyperlink" Target="mailto:fernando.ramirez1@gmail.com" TargetMode="External"/><Relationship Id="rId138" Type="http://schemas.openxmlformats.org/officeDocument/2006/relationships/hyperlink" Target="mailto:lucia.flores76@company.com" TargetMode="External"/><Relationship Id="rId137" Type="http://schemas.openxmlformats.org/officeDocument/2006/relationships/hyperlink" Target="mailto:ricardo.torres8@gmail.com" TargetMode="External"/><Relationship Id="rId132" Type="http://schemas.openxmlformats.org/officeDocument/2006/relationships/hyperlink" Target="mailto:carlos.morales7@company.com" TargetMode="External"/><Relationship Id="rId131" Type="http://schemas.openxmlformats.org/officeDocument/2006/relationships/hyperlink" Target="mailto:andres.sanchez5@gmail.com" TargetMode="External"/><Relationship Id="rId130" Type="http://schemas.openxmlformats.org/officeDocument/2006/relationships/hyperlink" Target="mailto:paula.castro12@company.com" TargetMode="External"/><Relationship Id="rId136" Type="http://schemas.openxmlformats.org/officeDocument/2006/relationships/hyperlink" Target="mailto:paula.lopez87@outlook.com" TargetMode="External"/><Relationship Id="rId135" Type="http://schemas.openxmlformats.org/officeDocument/2006/relationships/hyperlink" Target="mailto:fernando.flores76@company.com" TargetMode="External"/><Relationship Id="rId134" Type="http://schemas.openxmlformats.org/officeDocument/2006/relationships/hyperlink" Target="mailto:lucia.ortiz70@company.com" TargetMode="External"/><Relationship Id="rId133" Type="http://schemas.openxmlformats.org/officeDocument/2006/relationships/hyperlink" Target="mailto:maria.morales26@outlook.com" TargetMode="External"/><Relationship Id="rId62" Type="http://schemas.openxmlformats.org/officeDocument/2006/relationships/hyperlink" Target="mailto:elena.torres41@mail.com" TargetMode="External"/><Relationship Id="rId61" Type="http://schemas.openxmlformats.org/officeDocument/2006/relationships/hyperlink" Target="mailto:carlos.lopez95@outlook.com" TargetMode="External"/><Relationship Id="rId64" Type="http://schemas.openxmlformats.org/officeDocument/2006/relationships/hyperlink" Target="mailto:elena.vargas90@company.com" TargetMode="External"/><Relationship Id="rId63" Type="http://schemas.openxmlformats.org/officeDocument/2006/relationships/hyperlink" Target="mailto:camila.hernandez7@gmail.com" TargetMode="External"/><Relationship Id="rId66" Type="http://schemas.openxmlformats.org/officeDocument/2006/relationships/hyperlink" Target="mailto:laura.martinez8@company.com" TargetMode="External"/><Relationship Id="rId172" Type="http://schemas.openxmlformats.org/officeDocument/2006/relationships/hyperlink" Target="mailto:lucia.castro29@gmail.com" TargetMode="External"/><Relationship Id="rId65" Type="http://schemas.openxmlformats.org/officeDocument/2006/relationships/hyperlink" Target="mailto:andres.gomez55@mail.com" TargetMode="External"/><Relationship Id="rId171" Type="http://schemas.openxmlformats.org/officeDocument/2006/relationships/hyperlink" Target="mailto:diego.castro2@outlook.com" TargetMode="External"/><Relationship Id="rId68" Type="http://schemas.openxmlformats.org/officeDocument/2006/relationships/hyperlink" Target="mailto:jose.gomez22@gmail.com" TargetMode="External"/><Relationship Id="rId170" Type="http://schemas.openxmlformats.org/officeDocument/2006/relationships/hyperlink" Target="mailto:david.vargas77@company.com" TargetMode="External"/><Relationship Id="rId67" Type="http://schemas.openxmlformats.org/officeDocument/2006/relationships/hyperlink" Target="mailto:david.ortiz26@mail.com" TargetMode="External"/><Relationship Id="rId60" Type="http://schemas.openxmlformats.org/officeDocument/2006/relationships/hyperlink" Target="mailto:isabel.hernandez64@outlook.com" TargetMode="External"/><Relationship Id="rId165" Type="http://schemas.openxmlformats.org/officeDocument/2006/relationships/hyperlink" Target="mailto:sergio.sanchez42@gmail.com" TargetMode="External"/><Relationship Id="rId69" Type="http://schemas.openxmlformats.org/officeDocument/2006/relationships/hyperlink" Target="mailto:ricardo.lopez5@mail.com" TargetMode="External"/><Relationship Id="rId164" Type="http://schemas.openxmlformats.org/officeDocument/2006/relationships/hyperlink" Target="mailto:patricia.diaz44@mail.com" TargetMode="External"/><Relationship Id="rId163" Type="http://schemas.openxmlformats.org/officeDocument/2006/relationships/hyperlink" Target="mailto:isabel.ortiz35@gmail.com" TargetMode="External"/><Relationship Id="rId162" Type="http://schemas.openxmlformats.org/officeDocument/2006/relationships/hyperlink" Target="mailto:carlos.hernandez52@outlook.com" TargetMode="External"/><Relationship Id="rId169" Type="http://schemas.openxmlformats.org/officeDocument/2006/relationships/hyperlink" Target="mailto:javier.vargas25@gmail.com" TargetMode="External"/><Relationship Id="rId168" Type="http://schemas.openxmlformats.org/officeDocument/2006/relationships/hyperlink" Target="mailto:luis.romero32@mail.com" TargetMode="External"/><Relationship Id="rId167" Type="http://schemas.openxmlformats.org/officeDocument/2006/relationships/hyperlink" Target="mailto:isabel.torres94@mail.com" TargetMode="External"/><Relationship Id="rId166" Type="http://schemas.openxmlformats.org/officeDocument/2006/relationships/hyperlink" Target="mailto:paula.garcia31@outlook.com" TargetMode="External"/><Relationship Id="rId51" Type="http://schemas.openxmlformats.org/officeDocument/2006/relationships/hyperlink" Target="mailto:natalia.rodriguez44@mail.com" TargetMode="External"/><Relationship Id="rId50" Type="http://schemas.openxmlformats.org/officeDocument/2006/relationships/hyperlink" Target="mailto:patricia.rodriguez52@outlook.com" TargetMode="External"/><Relationship Id="rId53" Type="http://schemas.openxmlformats.org/officeDocument/2006/relationships/hyperlink" Target="mailto:ricardo.morales60@mail.com" TargetMode="External"/><Relationship Id="rId52" Type="http://schemas.openxmlformats.org/officeDocument/2006/relationships/hyperlink" Target="mailto:maria.rodriguez23@gmail.com" TargetMode="External"/><Relationship Id="rId55" Type="http://schemas.openxmlformats.org/officeDocument/2006/relationships/hyperlink" Target="mailto:patricia.castro89@mail.com" TargetMode="External"/><Relationship Id="rId161" Type="http://schemas.openxmlformats.org/officeDocument/2006/relationships/hyperlink" Target="mailto:maria.gomez45@company.com" TargetMode="External"/><Relationship Id="rId54" Type="http://schemas.openxmlformats.org/officeDocument/2006/relationships/hyperlink" Target="mailto:JAVIER.MARTINEZ58@MAIL.COM" TargetMode="External"/><Relationship Id="rId160" Type="http://schemas.openxmlformats.org/officeDocument/2006/relationships/hyperlink" Target="mailto:fernando.vargas89@gmail.com" TargetMode="External"/><Relationship Id="rId57" Type="http://schemas.openxmlformats.org/officeDocument/2006/relationships/hyperlink" Target="mailto:fernando.diaz13@mail.com" TargetMode="External"/><Relationship Id="rId56" Type="http://schemas.openxmlformats.org/officeDocument/2006/relationships/hyperlink" Target="mailto:andres.morales46@company.com" TargetMode="External"/><Relationship Id="rId159" Type="http://schemas.openxmlformats.org/officeDocument/2006/relationships/hyperlink" Target="mailto:isabel.castro42@company.com" TargetMode="External"/><Relationship Id="rId59" Type="http://schemas.openxmlformats.org/officeDocument/2006/relationships/hyperlink" Target="mailto:javier.flores94@company.com" TargetMode="External"/><Relationship Id="rId154" Type="http://schemas.openxmlformats.org/officeDocument/2006/relationships/hyperlink" Target="mailto:andres.castro65@outlook.com" TargetMode="External"/><Relationship Id="rId58" Type="http://schemas.openxmlformats.org/officeDocument/2006/relationships/hyperlink" Target="mailto:jose.gomez22@gmail.com" TargetMode="External"/><Relationship Id="rId153" Type="http://schemas.openxmlformats.org/officeDocument/2006/relationships/hyperlink" Target="mailto:alejandro.gonzalez30@mail.com" TargetMode="External"/><Relationship Id="rId152" Type="http://schemas.openxmlformats.org/officeDocument/2006/relationships/hyperlink" Target="mailto:lucia.romero64@mail.com" TargetMode="External"/><Relationship Id="rId151" Type="http://schemas.openxmlformats.org/officeDocument/2006/relationships/hyperlink" Target="mailto:raul.perez31@outlook.com" TargetMode="External"/><Relationship Id="rId158" Type="http://schemas.openxmlformats.org/officeDocument/2006/relationships/hyperlink" Target="mailto:valeria.vargas97@company.com" TargetMode="External"/><Relationship Id="rId157" Type="http://schemas.openxmlformats.org/officeDocument/2006/relationships/hyperlink" Target="mailto:PATRICIA.RIVERA43@OUTLOOK.COM" TargetMode="External"/><Relationship Id="rId156" Type="http://schemas.openxmlformats.org/officeDocument/2006/relationships/hyperlink" Target="mailto:ana.castro42@gmail.com" TargetMode="External"/><Relationship Id="rId155" Type="http://schemas.openxmlformats.org/officeDocument/2006/relationships/hyperlink" Target="mailto:manuel.sanchez24@gmail.com" TargetMode="External"/></Relationships>
</file>

<file path=xl/worksheets/_rels/sheet9.xml.rels><?xml version="1.0" encoding="UTF-8" standalone="yes"?><Relationships xmlns="http://schemas.openxmlformats.org/package/2006/relationships"><Relationship Id="rId40" Type="http://schemas.openxmlformats.org/officeDocument/2006/relationships/hyperlink" Target="mailto:carolina.flores80@mail.com" TargetMode="External"/><Relationship Id="rId42" Type="http://schemas.openxmlformats.org/officeDocument/2006/relationships/hyperlink" Target="mailto:maria.ortiz54@outlook.com" TargetMode="External"/><Relationship Id="rId41" Type="http://schemas.openxmlformats.org/officeDocument/2006/relationships/hyperlink" Target="mailto:sofia.morales41@gmail.com" TargetMode="External"/><Relationship Id="rId44" Type="http://schemas.openxmlformats.org/officeDocument/2006/relationships/hyperlink" Target="mailto:camila.diaz36@mail.com" TargetMode="External"/><Relationship Id="rId43" Type="http://schemas.openxmlformats.org/officeDocument/2006/relationships/hyperlink" Target="mailto:natalia.sanchez62@company.com" TargetMode="External"/><Relationship Id="rId46" Type="http://schemas.openxmlformats.org/officeDocument/2006/relationships/hyperlink" Target="mailto:luis.flores7@company.com" TargetMode="External"/><Relationship Id="rId45" Type="http://schemas.openxmlformats.org/officeDocument/2006/relationships/hyperlink" Target="mailto:sofia.vargas36@mail.com" TargetMode="External"/><Relationship Id="rId107" Type="http://schemas.openxmlformats.org/officeDocument/2006/relationships/hyperlink" Target="mailto:paula.lopez23@gmail.com" TargetMode="External"/><Relationship Id="rId106" Type="http://schemas.openxmlformats.org/officeDocument/2006/relationships/hyperlink" Target="mailto:david.flores57@outlook.com" TargetMode="External"/><Relationship Id="rId105" Type="http://schemas.openxmlformats.org/officeDocument/2006/relationships/hyperlink" Target="mailto:alejandro.morales37@company.com" TargetMode="External"/><Relationship Id="rId104" Type="http://schemas.openxmlformats.org/officeDocument/2006/relationships/hyperlink" Target="mailto:jose.gomez79@mail.com" TargetMode="External"/><Relationship Id="rId109" Type="http://schemas.openxmlformats.org/officeDocument/2006/relationships/hyperlink" Target="mailto:andres.gonzalez89@gmail.com" TargetMode="External"/><Relationship Id="rId108" Type="http://schemas.openxmlformats.org/officeDocument/2006/relationships/hyperlink" Target="mailto:carolina.rivera48@mail.com" TargetMode="External"/><Relationship Id="rId48" Type="http://schemas.openxmlformats.org/officeDocument/2006/relationships/hyperlink" Target="mailto:maria.sanchez18@outlook.com" TargetMode="External"/><Relationship Id="rId47" Type="http://schemas.openxmlformats.org/officeDocument/2006/relationships/hyperlink" Target="mailto:lucia.garcia2@outlook.com" TargetMode="External"/><Relationship Id="rId49" Type="http://schemas.openxmlformats.org/officeDocument/2006/relationships/hyperlink" Target="mailto:patricia.rodriguez52@outlook.com" TargetMode="External"/><Relationship Id="rId103" Type="http://schemas.openxmlformats.org/officeDocument/2006/relationships/hyperlink" Target="mailto:miguel.ramirez23@mail.com" TargetMode="External"/><Relationship Id="rId102" Type="http://schemas.openxmlformats.org/officeDocument/2006/relationships/hyperlink" Target="mailto:ana.hernandez93@outlook.com" TargetMode="External"/><Relationship Id="rId101" Type="http://schemas.openxmlformats.org/officeDocument/2006/relationships/hyperlink" Target="mailto:miguel.castro98@mail.com" TargetMode="External"/><Relationship Id="rId100" Type="http://schemas.openxmlformats.org/officeDocument/2006/relationships/hyperlink" Target="mailto:manuel.castro90@company.com" TargetMode="External"/><Relationship Id="rId31" Type="http://schemas.openxmlformats.org/officeDocument/2006/relationships/hyperlink" Target="mailto:andres.sanchez74@outlook.com" TargetMode="External"/><Relationship Id="rId30" Type="http://schemas.openxmlformats.org/officeDocument/2006/relationships/hyperlink" Target="mailto:diego.navarro64@mail.com" TargetMode="External"/><Relationship Id="rId33" Type="http://schemas.openxmlformats.org/officeDocument/2006/relationships/hyperlink" Target="mailto:alejandro.sanchez42@mail.com" TargetMode="External"/><Relationship Id="rId183" Type="http://schemas.openxmlformats.org/officeDocument/2006/relationships/table" Target="../tables/table5.xml"/><Relationship Id="rId32" Type="http://schemas.openxmlformats.org/officeDocument/2006/relationships/hyperlink" Target="mailto:manuel.morales27@gmail.com" TargetMode="External"/><Relationship Id="rId35" Type="http://schemas.openxmlformats.org/officeDocument/2006/relationships/hyperlink" Target="mailto:david.torres10@company.com" TargetMode="External"/><Relationship Id="rId181" Type="http://schemas.openxmlformats.org/officeDocument/2006/relationships/drawing" Target="../drawings/drawing9.xml"/><Relationship Id="rId34" Type="http://schemas.openxmlformats.org/officeDocument/2006/relationships/hyperlink" Target="mailto:patricia.diaz43@company.com" TargetMode="External"/><Relationship Id="rId180" Type="http://schemas.openxmlformats.org/officeDocument/2006/relationships/hyperlink" Target="mailto:VALERIA.ROMERO51@MAIL.COM" TargetMode="External"/><Relationship Id="rId37" Type="http://schemas.openxmlformats.org/officeDocument/2006/relationships/hyperlink" Target="mailto:fernando.rivera80@company.com" TargetMode="External"/><Relationship Id="rId176" Type="http://schemas.openxmlformats.org/officeDocument/2006/relationships/hyperlink" Target="mailto:lucia.rodriguez52@company.com" TargetMode="External"/><Relationship Id="rId36" Type="http://schemas.openxmlformats.org/officeDocument/2006/relationships/hyperlink" Target="mailto:fernando.romero63@gmail.com" TargetMode="External"/><Relationship Id="rId175" Type="http://schemas.openxmlformats.org/officeDocument/2006/relationships/hyperlink" Target="mailto:miguel.martinez42@mail.com" TargetMode="External"/><Relationship Id="rId39" Type="http://schemas.openxmlformats.org/officeDocument/2006/relationships/hyperlink" Target="mailto:lucia.sanchez5@outlook.com" TargetMode="External"/><Relationship Id="rId174" Type="http://schemas.openxmlformats.org/officeDocument/2006/relationships/hyperlink" Target="mailto:elena.diaz46@gmail.com" TargetMode="External"/><Relationship Id="rId38" Type="http://schemas.openxmlformats.org/officeDocument/2006/relationships/hyperlink" Target="mailto:isabel.ortiz36@mail.com" TargetMode="External"/><Relationship Id="rId173" Type="http://schemas.openxmlformats.org/officeDocument/2006/relationships/hyperlink" Target="mailto:raul.perez66@mail.com" TargetMode="External"/><Relationship Id="rId179" Type="http://schemas.openxmlformats.org/officeDocument/2006/relationships/hyperlink" Target="mailto:valeria.rivera98@outlook.com" TargetMode="External"/><Relationship Id="rId178" Type="http://schemas.openxmlformats.org/officeDocument/2006/relationships/hyperlink" Target="mailto:sergio.gomez90@outlook.com" TargetMode="External"/><Relationship Id="rId177" Type="http://schemas.openxmlformats.org/officeDocument/2006/relationships/hyperlink" Target="mailto:paula.diaz25@outlook.com" TargetMode="External"/><Relationship Id="rId20" Type="http://schemas.openxmlformats.org/officeDocument/2006/relationships/hyperlink" Target="mailto:carlos.perez33@gmail.com" TargetMode="External"/><Relationship Id="rId22" Type="http://schemas.openxmlformats.org/officeDocument/2006/relationships/hyperlink" Target="mailto:sergio.hernandez12@outlook.com" TargetMode="External"/><Relationship Id="rId21" Type="http://schemas.openxmlformats.org/officeDocument/2006/relationships/hyperlink" Target="mailto:raul.hernandez69@company.com" TargetMode="External"/><Relationship Id="rId24" Type="http://schemas.openxmlformats.org/officeDocument/2006/relationships/hyperlink" Target="mailto:diego.garcia78@gmail.com" TargetMode="External"/><Relationship Id="rId23" Type="http://schemas.openxmlformats.org/officeDocument/2006/relationships/hyperlink" Target="mailto:paula.diaz76@mail.com" TargetMode="External"/><Relationship Id="rId129" Type="http://schemas.openxmlformats.org/officeDocument/2006/relationships/hyperlink" Target="mailto:paula.castro12@company.com" TargetMode="External"/><Relationship Id="rId128" Type="http://schemas.openxmlformats.org/officeDocument/2006/relationships/hyperlink" Target="mailto:raul.sanchez96@outlook.com" TargetMode="External"/><Relationship Id="rId127" Type="http://schemas.openxmlformats.org/officeDocument/2006/relationships/hyperlink" Target="mailto:luis.flores57@company.com" TargetMode="External"/><Relationship Id="rId126" Type="http://schemas.openxmlformats.org/officeDocument/2006/relationships/hyperlink" Target="mailto:patricia.diaz3@mail.com" TargetMode="External"/><Relationship Id="rId26" Type="http://schemas.openxmlformats.org/officeDocument/2006/relationships/hyperlink" Target="mailto:fernando.morales39@company.com" TargetMode="External"/><Relationship Id="rId121" Type="http://schemas.openxmlformats.org/officeDocument/2006/relationships/hyperlink" Target="mailto:maria.ortiz31@gmail.com" TargetMode="External"/><Relationship Id="rId25" Type="http://schemas.openxmlformats.org/officeDocument/2006/relationships/hyperlink" Target="mailto:daniel.perez13@gmail.com" TargetMode="External"/><Relationship Id="rId120" Type="http://schemas.openxmlformats.org/officeDocument/2006/relationships/hyperlink" Target="mailto:sofia.diaz89@mail.com" TargetMode="External"/><Relationship Id="rId28" Type="http://schemas.openxmlformats.org/officeDocument/2006/relationships/hyperlink" Target="mailto:alejandro.ramirez44@company.com" TargetMode="External"/><Relationship Id="rId27" Type="http://schemas.openxmlformats.org/officeDocument/2006/relationships/hyperlink" Target="mailto:alejandro.torres56@company.com" TargetMode="External"/><Relationship Id="rId125" Type="http://schemas.openxmlformats.org/officeDocument/2006/relationships/hyperlink" Target="mailto:jose.martinez32@outlook.com" TargetMode="External"/><Relationship Id="rId29" Type="http://schemas.openxmlformats.org/officeDocument/2006/relationships/hyperlink" Target="mailto:raul.rodriguez57@gmail.com" TargetMode="External"/><Relationship Id="rId124" Type="http://schemas.openxmlformats.org/officeDocument/2006/relationships/hyperlink" Target="mailto:david.sanchez3@company.com" TargetMode="External"/><Relationship Id="rId123" Type="http://schemas.openxmlformats.org/officeDocument/2006/relationships/hyperlink" Target="mailto:manuel.rivera5@company.com" TargetMode="External"/><Relationship Id="rId122" Type="http://schemas.openxmlformats.org/officeDocument/2006/relationships/hyperlink" Target="mailto:paula.flores21@mail.com" TargetMode="External"/><Relationship Id="rId95" Type="http://schemas.openxmlformats.org/officeDocument/2006/relationships/hyperlink" Target="mailto:fernando.diaz28@gmail.com" TargetMode="External"/><Relationship Id="rId94" Type="http://schemas.openxmlformats.org/officeDocument/2006/relationships/hyperlink" Target="mailto:david.navarro78@company.com" TargetMode="External"/><Relationship Id="rId97" Type="http://schemas.openxmlformats.org/officeDocument/2006/relationships/hyperlink" Target="mailto:ana.lopez5@mail.com" TargetMode="External"/><Relationship Id="rId96" Type="http://schemas.openxmlformats.org/officeDocument/2006/relationships/hyperlink" Target="mailto:patricia.vargas46@mail.com" TargetMode="External"/><Relationship Id="rId11" Type="http://schemas.openxmlformats.org/officeDocument/2006/relationships/hyperlink" Target="mailto:andres.martinez22@mail.com" TargetMode="External"/><Relationship Id="rId99" Type="http://schemas.openxmlformats.org/officeDocument/2006/relationships/hyperlink" Target="mailto:valeria.garcia11@outlook.com" TargetMode="External"/><Relationship Id="rId10" Type="http://schemas.openxmlformats.org/officeDocument/2006/relationships/hyperlink" Target="mailto:patricia.perez5@outlook.com" TargetMode="External"/><Relationship Id="rId98" Type="http://schemas.openxmlformats.org/officeDocument/2006/relationships/hyperlink" Target="mailto:valeria.castro17@gmail.com" TargetMode="External"/><Relationship Id="rId13" Type="http://schemas.openxmlformats.org/officeDocument/2006/relationships/hyperlink" Target="mailto:sergio.ortiz49@company.com" TargetMode="External"/><Relationship Id="rId12" Type="http://schemas.openxmlformats.org/officeDocument/2006/relationships/hyperlink" Target="mailto:natalia.ortiz66@gmail.com" TargetMode="External"/><Relationship Id="rId91" Type="http://schemas.openxmlformats.org/officeDocument/2006/relationships/hyperlink" Target="mailto:sergio.navarro85@gmail.com" TargetMode="External"/><Relationship Id="rId90" Type="http://schemas.openxmlformats.org/officeDocument/2006/relationships/hyperlink" Target="mailto:sergio.gomez44@mail.com" TargetMode="External"/><Relationship Id="rId93" Type="http://schemas.openxmlformats.org/officeDocument/2006/relationships/hyperlink" Target="mailto:patricia.martinez26@gmail.com" TargetMode="External"/><Relationship Id="rId92" Type="http://schemas.openxmlformats.org/officeDocument/2006/relationships/hyperlink" Target="mailto:carolina.navarro58@gmail.com" TargetMode="External"/><Relationship Id="rId118" Type="http://schemas.openxmlformats.org/officeDocument/2006/relationships/hyperlink" Target="mailto:diego.hernandez61@gmail.com" TargetMode="External"/><Relationship Id="rId117" Type="http://schemas.openxmlformats.org/officeDocument/2006/relationships/hyperlink" Target="mailto:david.gonzalez67@outlook.com" TargetMode="External"/><Relationship Id="rId116" Type="http://schemas.openxmlformats.org/officeDocument/2006/relationships/hyperlink" Target="mailto:daniel.diaz37@outlook.com" TargetMode="External"/><Relationship Id="rId115" Type="http://schemas.openxmlformats.org/officeDocument/2006/relationships/hyperlink" Target="mailto:daniel.gomez70@outlook.com" TargetMode="External"/><Relationship Id="rId119" Type="http://schemas.openxmlformats.org/officeDocument/2006/relationships/hyperlink" Target="mailto:sofia.lopez20@gmail.com" TargetMode="External"/><Relationship Id="rId15" Type="http://schemas.openxmlformats.org/officeDocument/2006/relationships/hyperlink" Target="mailto:javier.martinez59@mail.com" TargetMode="External"/><Relationship Id="rId110" Type="http://schemas.openxmlformats.org/officeDocument/2006/relationships/hyperlink" Target="mailto:manuel.vargas39@mail.com" TargetMode="External"/><Relationship Id="rId14" Type="http://schemas.openxmlformats.org/officeDocument/2006/relationships/hyperlink" Target="mailto:javier.diaz69@gmail.com" TargetMode="External"/><Relationship Id="rId17" Type="http://schemas.openxmlformats.org/officeDocument/2006/relationships/hyperlink" Target="mailto:luis.rodriguez98@gmail.com" TargetMode="External"/><Relationship Id="rId16" Type="http://schemas.openxmlformats.org/officeDocument/2006/relationships/hyperlink" Target="mailto:isabel.gomez32@mail.com" TargetMode="External"/><Relationship Id="rId19" Type="http://schemas.openxmlformats.org/officeDocument/2006/relationships/hyperlink" Target="mailto:daniel.flores94@outlook.com" TargetMode="External"/><Relationship Id="rId114" Type="http://schemas.openxmlformats.org/officeDocument/2006/relationships/hyperlink" Target="mailto:lucia.diaz1@company.com" TargetMode="External"/><Relationship Id="rId18" Type="http://schemas.openxmlformats.org/officeDocument/2006/relationships/hyperlink" Target="mailto:natalia.diaz38@mail.com" TargetMode="External"/><Relationship Id="rId113" Type="http://schemas.openxmlformats.org/officeDocument/2006/relationships/hyperlink" Target="mailto:lucia.vargas98@gmail.com" TargetMode="External"/><Relationship Id="rId112" Type="http://schemas.openxmlformats.org/officeDocument/2006/relationships/hyperlink" Target="mailto:luis.hernandez26@mail.com" TargetMode="External"/><Relationship Id="rId111" Type="http://schemas.openxmlformats.org/officeDocument/2006/relationships/hyperlink" Target="mailto:raul.vargas51@gmail.com" TargetMode="External"/><Relationship Id="rId84" Type="http://schemas.openxmlformats.org/officeDocument/2006/relationships/hyperlink" Target="mailto:valeria.castro40@mail.com" TargetMode="External"/><Relationship Id="rId83" Type="http://schemas.openxmlformats.org/officeDocument/2006/relationships/hyperlink" Target="mailto:ana.flores62@gmail.com" TargetMode="External"/><Relationship Id="rId86" Type="http://schemas.openxmlformats.org/officeDocument/2006/relationships/hyperlink" Target="mailto:luis.gonzalez69@gmail.com" TargetMode="External"/><Relationship Id="rId85" Type="http://schemas.openxmlformats.org/officeDocument/2006/relationships/hyperlink" Target="mailto:patricia.rodriguez74@mail.com" TargetMode="External"/><Relationship Id="rId88" Type="http://schemas.openxmlformats.org/officeDocument/2006/relationships/hyperlink" Target="mailto:david.gonzalez31@gmail.com" TargetMode="External"/><Relationship Id="rId150" Type="http://schemas.openxmlformats.org/officeDocument/2006/relationships/hyperlink" Target="mailto:miguel.sanchez3@mail.com" TargetMode="External"/><Relationship Id="rId87" Type="http://schemas.openxmlformats.org/officeDocument/2006/relationships/hyperlink" Target="mailto:luis.morales55@company.com" TargetMode="External"/><Relationship Id="rId89" Type="http://schemas.openxmlformats.org/officeDocument/2006/relationships/hyperlink" Target="mailto:carolina.garcia98@mail.com" TargetMode="External"/><Relationship Id="rId80" Type="http://schemas.openxmlformats.org/officeDocument/2006/relationships/hyperlink" Target="mailto:laura.gomez3@company.com" TargetMode="External"/><Relationship Id="rId82" Type="http://schemas.openxmlformats.org/officeDocument/2006/relationships/hyperlink" Target="mailto:laura.rivera45@gmail.com" TargetMode="External"/><Relationship Id="rId81" Type="http://schemas.openxmlformats.org/officeDocument/2006/relationships/hyperlink" Target="mailto:isabel.gonzalez3@company.com" TargetMode="External"/><Relationship Id="rId1" Type="http://schemas.openxmlformats.org/officeDocument/2006/relationships/hyperlink" Target="mailto:alejandro.navarro94@company.com" TargetMode="External"/><Relationship Id="rId2" Type="http://schemas.openxmlformats.org/officeDocument/2006/relationships/hyperlink" Target="mailto:camila.gonzalez86@mail.com" TargetMode="External"/><Relationship Id="rId3" Type="http://schemas.openxmlformats.org/officeDocument/2006/relationships/hyperlink" Target="mailto:carlos.navarro11@mail.com" TargetMode="External"/><Relationship Id="rId149" Type="http://schemas.openxmlformats.org/officeDocument/2006/relationships/hyperlink" Target="mailto:manuel.martinez2@gmail.com" TargetMode="External"/><Relationship Id="rId4" Type="http://schemas.openxmlformats.org/officeDocument/2006/relationships/hyperlink" Target="mailto:maria.gonzalez3@outlook.com" TargetMode="External"/><Relationship Id="rId148" Type="http://schemas.openxmlformats.org/officeDocument/2006/relationships/hyperlink" Target="mailto:daniel.ramirez25@outlook.com" TargetMode="External"/><Relationship Id="rId9" Type="http://schemas.openxmlformats.org/officeDocument/2006/relationships/hyperlink" Target="mailto:manuel.lopez9@outlook.com" TargetMode="External"/><Relationship Id="rId143" Type="http://schemas.openxmlformats.org/officeDocument/2006/relationships/hyperlink" Target="mailto:LUIS.FLORES66@GMAIL.COM" TargetMode="External"/><Relationship Id="rId142" Type="http://schemas.openxmlformats.org/officeDocument/2006/relationships/hyperlink" Target="mailto:andres.romero91@gmail.com" TargetMode="External"/><Relationship Id="rId141" Type="http://schemas.openxmlformats.org/officeDocument/2006/relationships/hyperlink" Target="mailto:paula.flores40@gmail.com" TargetMode="External"/><Relationship Id="rId140" Type="http://schemas.openxmlformats.org/officeDocument/2006/relationships/hyperlink" Target="mailto:jose.castro34@gmail.com" TargetMode="External"/><Relationship Id="rId5" Type="http://schemas.openxmlformats.org/officeDocument/2006/relationships/hyperlink" Target="mailto:carolina.navarro41@gmail.com" TargetMode="External"/><Relationship Id="rId147" Type="http://schemas.openxmlformats.org/officeDocument/2006/relationships/hyperlink" Target="mailto:laura.torres19@gmail.com" TargetMode="External"/><Relationship Id="rId6" Type="http://schemas.openxmlformats.org/officeDocument/2006/relationships/hyperlink" Target="mailto:maria.rivera61@outlook.com" TargetMode="External"/><Relationship Id="rId146" Type="http://schemas.openxmlformats.org/officeDocument/2006/relationships/hyperlink" Target="mailto:manuel.gomez96@mail.com" TargetMode="External"/><Relationship Id="rId7" Type="http://schemas.openxmlformats.org/officeDocument/2006/relationships/hyperlink" Target="mailto:camila.torres47@company.com" TargetMode="External"/><Relationship Id="rId145" Type="http://schemas.openxmlformats.org/officeDocument/2006/relationships/hyperlink" Target="mailto:david.romero42@gmail.com" TargetMode="External"/><Relationship Id="rId8" Type="http://schemas.openxmlformats.org/officeDocument/2006/relationships/hyperlink" Target="mailto:miguel.rodriguez72@outlook.com" TargetMode="External"/><Relationship Id="rId144" Type="http://schemas.openxmlformats.org/officeDocument/2006/relationships/hyperlink" Target="mailto:laura.rivera43@company.com" TargetMode="External"/><Relationship Id="rId73" Type="http://schemas.openxmlformats.org/officeDocument/2006/relationships/hyperlink" Target="mailto:sergio.garcia86@outlook.com" TargetMode="External"/><Relationship Id="rId72" Type="http://schemas.openxmlformats.org/officeDocument/2006/relationships/hyperlink" Target="mailto:isabel.rivera15@outlook.com" TargetMode="External"/><Relationship Id="rId75" Type="http://schemas.openxmlformats.org/officeDocument/2006/relationships/hyperlink" Target="mailto:david.rodriguez27@company.com" TargetMode="External"/><Relationship Id="rId74" Type="http://schemas.openxmlformats.org/officeDocument/2006/relationships/hyperlink" Target="mailto:manuel.rodriguez68@gmail.com" TargetMode="External"/><Relationship Id="rId77" Type="http://schemas.openxmlformats.org/officeDocument/2006/relationships/hyperlink" Target="mailto:daniel.diaz68@gmail.com" TargetMode="External"/><Relationship Id="rId76" Type="http://schemas.openxmlformats.org/officeDocument/2006/relationships/hyperlink" Target="mailto:isabel.gomez42@mail.com" TargetMode="External"/><Relationship Id="rId79" Type="http://schemas.openxmlformats.org/officeDocument/2006/relationships/hyperlink" Target="mailto:ana.garcia24@mail.com" TargetMode="External"/><Relationship Id="rId78" Type="http://schemas.openxmlformats.org/officeDocument/2006/relationships/hyperlink" Target="mailto:luis.morales26@gmail.com" TargetMode="External"/><Relationship Id="rId71" Type="http://schemas.openxmlformats.org/officeDocument/2006/relationships/hyperlink" Target="mailto:marta.rivera75@outlook.com" TargetMode="External"/><Relationship Id="rId70" Type="http://schemas.openxmlformats.org/officeDocument/2006/relationships/hyperlink" Target="mailto:fernando.ramirez67@company.com" TargetMode="External"/><Relationship Id="rId139" Type="http://schemas.openxmlformats.org/officeDocument/2006/relationships/hyperlink" Target="mailto:gabriela.ramirez34@outlook.com" TargetMode="External"/><Relationship Id="rId138" Type="http://schemas.openxmlformats.org/officeDocument/2006/relationships/hyperlink" Target="mailto:fernando.ramirez1@gmail.com" TargetMode="External"/><Relationship Id="rId137" Type="http://schemas.openxmlformats.org/officeDocument/2006/relationships/hyperlink" Target="mailto:lucia.flores76@company.com" TargetMode="External"/><Relationship Id="rId132" Type="http://schemas.openxmlformats.org/officeDocument/2006/relationships/hyperlink" Target="mailto:maria.morales26@outlook.com" TargetMode="External"/><Relationship Id="rId131" Type="http://schemas.openxmlformats.org/officeDocument/2006/relationships/hyperlink" Target="mailto:carlos.morales7@company.com" TargetMode="External"/><Relationship Id="rId130" Type="http://schemas.openxmlformats.org/officeDocument/2006/relationships/hyperlink" Target="mailto:andres.sanchez5@gmail.com" TargetMode="External"/><Relationship Id="rId136" Type="http://schemas.openxmlformats.org/officeDocument/2006/relationships/hyperlink" Target="mailto:ricardo.torres8@gmail.com" TargetMode="External"/><Relationship Id="rId135" Type="http://schemas.openxmlformats.org/officeDocument/2006/relationships/hyperlink" Target="mailto:paula.lopez87@outlook.com" TargetMode="External"/><Relationship Id="rId134" Type="http://schemas.openxmlformats.org/officeDocument/2006/relationships/hyperlink" Target="mailto:fernando.flores76@company.com" TargetMode="External"/><Relationship Id="rId133" Type="http://schemas.openxmlformats.org/officeDocument/2006/relationships/hyperlink" Target="mailto:lucia.ortiz70@company.com" TargetMode="External"/><Relationship Id="rId62" Type="http://schemas.openxmlformats.org/officeDocument/2006/relationships/hyperlink" Target="mailto:elena.torres41@mail.com" TargetMode="External"/><Relationship Id="rId61" Type="http://schemas.openxmlformats.org/officeDocument/2006/relationships/hyperlink" Target="mailto:carlos.lopez95@outlook.com" TargetMode="External"/><Relationship Id="rId64" Type="http://schemas.openxmlformats.org/officeDocument/2006/relationships/hyperlink" Target="mailto:elena.vargas90@company.com" TargetMode="External"/><Relationship Id="rId63" Type="http://schemas.openxmlformats.org/officeDocument/2006/relationships/hyperlink" Target="mailto:camila.hernandez7@gmail.com" TargetMode="External"/><Relationship Id="rId66" Type="http://schemas.openxmlformats.org/officeDocument/2006/relationships/hyperlink" Target="mailto:laura.martinez8@company.com" TargetMode="External"/><Relationship Id="rId172" Type="http://schemas.openxmlformats.org/officeDocument/2006/relationships/hyperlink" Target="mailto:lucia.castro29@gmail.com" TargetMode="External"/><Relationship Id="rId65" Type="http://schemas.openxmlformats.org/officeDocument/2006/relationships/hyperlink" Target="mailto:andres.gomez55@mail.com" TargetMode="External"/><Relationship Id="rId171" Type="http://schemas.openxmlformats.org/officeDocument/2006/relationships/hyperlink" Target="mailto:diego.castro2@outlook.com" TargetMode="External"/><Relationship Id="rId68" Type="http://schemas.openxmlformats.org/officeDocument/2006/relationships/hyperlink" Target="mailto:ricardo.lopez5@mail.com" TargetMode="External"/><Relationship Id="rId170" Type="http://schemas.openxmlformats.org/officeDocument/2006/relationships/hyperlink" Target="mailto:david.vargas77@company.com" TargetMode="External"/><Relationship Id="rId67" Type="http://schemas.openxmlformats.org/officeDocument/2006/relationships/hyperlink" Target="mailto:david.ortiz26@mail.com" TargetMode="External"/><Relationship Id="rId60" Type="http://schemas.openxmlformats.org/officeDocument/2006/relationships/hyperlink" Target="mailto:isabel.hernandez64@outlook.com" TargetMode="External"/><Relationship Id="rId165" Type="http://schemas.openxmlformats.org/officeDocument/2006/relationships/hyperlink" Target="mailto:sergio.sanchez42@gmail.com" TargetMode="External"/><Relationship Id="rId69" Type="http://schemas.openxmlformats.org/officeDocument/2006/relationships/hyperlink" Target="mailto:carolina.ortiz69@gmail.com" TargetMode="External"/><Relationship Id="rId164" Type="http://schemas.openxmlformats.org/officeDocument/2006/relationships/hyperlink" Target="mailto:patricia.diaz44@mail.com" TargetMode="External"/><Relationship Id="rId163" Type="http://schemas.openxmlformats.org/officeDocument/2006/relationships/hyperlink" Target="mailto:isabel.ortiz35@gmail.com" TargetMode="External"/><Relationship Id="rId162" Type="http://schemas.openxmlformats.org/officeDocument/2006/relationships/hyperlink" Target="mailto:carlos.hernandez52@outlook.com" TargetMode="External"/><Relationship Id="rId169" Type="http://schemas.openxmlformats.org/officeDocument/2006/relationships/hyperlink" Target="mailto:javier.vargas25@gmail.com" TargetMode="External"/><Relationship Id="rId168" Type="http://schemas.openxmlformats.org/officeDocument/2006/relationships/hyperlink" Target="mailto:luis.romero32@mail.com" TargetMode="External"/><Relationship Id="rId167" Type="http://schemas.openxmlformats.org/officeDocument/2006/relationships/hyperlink" Target="mailto:isabel.torres94@mail.com" TargetMode="External"/><Relationship Id="rId166" Type="http://schemas.openxmlformats.org/officeDocument/2006/relationships/hyperlink" Target="mailto:paula.garcia31@outlook.com" TargetMode="External"/><Relationship Id="rId51" Type="http://schemas.openxmlformats.org/officeDocument/2006/relationships/hyperlink" Target="mailto:maria.rodriguez23@gmail.com" TargetMode="External"/><Relationship Id="rId50" Type="http://schemas.openxmlformats.org/officeDocument/2006/relationships/hyperlink" Target="mailto:natalia.rodriguez44@mail.com" TargetMode="External"/><Relationship Id="rId53" Type="http://schemas.openxmlformats.org/officeDocument/2006/relationships/hyperlink" Target="mailto:JAVIER.MARTINEZ58@MAIL.COM" TargetMode="External"/><Relationship Id="rId52" Type="http://schemas.openxmlformats.org/officeDocument/2006/relationships/hyperlink" Target="mailto:ricardo.morales60@mail.com" TargetMode="External"/><Relationship Id="rId55" Type="http://schemas.openxmlformats.org/officeDocument/2006/relationships/hyperlink" Target="mailto:andres.morales46@company.com" TargetMode="External"/><Relationship Id="rId161" Type="http://schemas.openxmlformats.org/officeDocument/2006/relationships/hyperlink" Target="mailto:maria.gomez45@company.com" TargetMode="External"/><Relationship Id="rId54" Type="http://schemas.openxmlformats.org/officeDocument/2006/relationships/hyperlink" Target="mailto:patricia.castro89@mail.com" TargetMode="External"/><Relationship Id="rId160" Type="http://schemas.openxmlformats.org/officeDocument/2006/relationships/hyperlink" Target="mailto:fernando.vargas89@gmail.com" TargetMode="External"/><Relationship Id="rId57" Type="http://schemas.openxmlformats.org/officeDocument/2006/relationships/hyperlink" Target="mailto:jose.gomez22@gmail.com" TargetMode="External"/><Relationship Id="rId56" Type="http://schemas.openxmlformats.org/officeDocument/2006/relationships/hyperlink" Target="mailto:fernando.diaz13@mail.com" TargetMode="External"/><Relationship Id="rId159" Type="http://schemas.openxmlformats.org/officeDocument/2006/relationships/hyperlink" Target="mailto:isabel.castro42@company.com" TargetMode="External"/><Relationship Id="rId59" Type="http://schemas.openxmlformats.org/officeDocument/2006/relationships/hyperlink" Target="mailto:javier.flores94@company.com" TargetMode="External"/><Relationship Id="rId154" Type="http://schemas.openxmlformats.org/officeDocument/2006/relationships/hyperlink" Target="mailto:andres.castro65@outlook.com" TargetMode="External"/><Relationship Id="rId58" Type="http://schemas.openxmlformats.org/officeDocument/2006/relationships/hyperlink" Target="mailto:natalia.rodriguez3@company.com" TargetMode="External"/><Relationship Id="rId153" Type="http://schemas.openxmlformats.org/officeDocument/2006/relationships/hyperlink" Target="mailto:alejandro.gonzalez30@mail.com" TargetMode="External"/><Relationship Id="rId152" Type="http://schemas.openxmlformats.org/officeDocument/2006/relationships/hyperlink" Target="mailto:lucia.romero64@mail.com" TargetMode="External"/><Relationship Id="rId151" Type="http://schemas.openxmlformats.org/officeDocument/2006/relationships/hyperlink" Target="mailto:raul.perez31@outlook.com" TargetMode="External"/><Relationship Id="rId158" Type="http://schemas.openxmlformats.org/officeDocument/2006/relationships/hyperlink" Target="mailto:valeria.vargas97@company.com" TargetMode="External"/><Relationship Id="rId157" Type="http://schemas.openxmlformats.org/officeDocument/2006/relationships/hyperlink" Target="mailto:PATRICIA.RIVERA43@OUTLOOK.COM" TargetMode="External"/><Relationship Id="rId156" Type="http://schemas.openxmlformats.org/officeDocument/2006/relationships/hyperlink" Target="mailto:ana.castro42@gmail.com" TargetMode="External"/><Relationship Id="rId155" Type="http://schemas.openxmlformats.org/officeDocument/2006/relationships/hyperlink" Target="mailto:manuel.sanchez24@gmail.com" TargetMode="Externa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6.63"/>
    <col customWidth="1" min="2" max="2" width="23.13"/>
    <col customWidth="1" min="3" max="3" width="31.63"/>
    <col customWidth="1" min="4" max="4" width="20.0"/>
    <col customWidth="1" min="5" max="5" width="24.0"/>
    <col customWidth="1" min="6" max="6" width="18.0"/>
    <col customWidth="1" min="7" max="7" width="18.38"/>
    <col customWidth="1" min="8" max="8" width="24.0"/>
    <col customWidth="1" min="9" max="9" width="18.0"/>
    <col customWidth="1" min="10" max="10" width="25.63"/>
    <col customWidth="1" min="11" max="11" width="19.13"/>
    <col customWidth="1" min="12" max="12" width="23.0"/>
    <col customWidth="1" min="13" max="13" width="26.0"/>
    <col customWidth="1" min="14" max="26" width="8.63"/>
  </cols>
  <sheetData>
    <row r="1" ht="22.5" customHeight="1">
      <c r="A1" s="7" t="s">
        <v>0</v>
      </c>
      <c r="B1" s="7" t="s">
        <v>1</v>
      </c>
      <c r="C1" s="7" t="s">
        <v>2</v>
      </c>
      <c r="D1" s="7" t="s">
        <v>9</v>
      </c>
      <c r="E1" s="7" t="s">
        <v>10</v>
      </c>
      <c r="F1" s="7" t="s">
        <v>11</v>
      </c>
      <c r="G1" s="7" t="s">
        <v>13</v>
      </c>
      <c r="H1" s="7" t="s">
        <v>14</v>
      </c>
      <c r="I1" s="7" t="s">
        <v>15</v>
      </c>
      <c r="J1" s="7" t="s">
        <v>17</v>
      </c>
      <c r="K1" s="7" t="s">
        <v>18</v>
      </c>
      <c r="L1" s="7" t="s">
        <v>19</v>
      </c>
      <c r="M1" s="7" t="s">
        <v>20</v>
      </c>
    </row>
    <row r="2" ht="22.5" customHeight="1">
      <c r="A2" s="12" t="s">
        <v>21</v>
      </c>
      <c r="B2" s="12" t="s">
        <v>22</v>
      </c>
      <c r="C2" s="13" t="s">
        <v>23</v>
      </c>
      <c r="D2" s="12" t="s">
        <v>24</v>
      </c>
      <c r="E2" s="12" t="s">
        <v>25</v>
      </c>
      <c r="F2" s="12" t="s">
        <v>26</v>
      </c>
      <c r="G2" s="12" t="s">
        <v>27</v>
      </c>
      <c r="H2" s="12" t="s">
        <v>28</v>
      </c>
      <c r="I2" s="12" t="s">
        <v>29</v>
      </c>
      <c r="J2" s="16"/>
      <c r="K2" s="17">
        <v>46111.0</v>
      </c>
      <c r="L2" s="17">
        <v>46153.0</v>
      </c>
      <c r="M2" s="8" t="s">
        <v>30</v>
      </c>
    </row>
    <row r="3" ht="22.5" customHeight="1">
      <c r="A3" s="12" t="s">
        <v>253</v>
      </c>
      <c r="B3" s="12" t="s">
        <v>257</v>
      </c>
      <c r="C3" s="13" t="s">
        <v>260</v>
      </c>
      <c r="D3" s="12" t="s">
        <v>271</v>
      </c>
      <c r="E3" s="12" t="s">
        <v>272</v>
      </c>
      <c r="F3" s="12" t="s">
        <v>120</v>
      </c>
      <c r="G3" s="12" t="s">
        <v>57</v>
      </c>
      <c r="H3" s="12" t="s">
        <v>40</v>
      </c>
      <c r="I3" s="12" t="s">
        <v>50</v>
      </c>
      <c r="J3" s="16">
        <v>1200.0</v>
      </c>
      <c r="K3" s="17">
        <v>46263.0</v>
      </c>
      <c r="L3" s="17">
        <v>46304.0</v>
      </c>
      <c r="M3" s="8" t="s">
        <v>95</v>
      </c>
    </row>
    <row r="4" ht="22.5" customHeight="1">
      <c r="A4" s="12" t="s">
        <v>42</v>
      </c>
      <c r="B4" s="12" t="s">
        <v>43</v>
      </c>
      <c r="C4" s="13" t="s">
        <v>44</v>
      </c>
      <c r="D4" s="12" t="s">
        <v>45</v>
      </c>
      <c r="E4" s="12" t="s">
        <v>46</v>
      </c>
      <c r="F4" s="12" t="s">
        <v>47</v>
      </c>
      <c r="G4" s="12" t="s">
        <v>48</v>
      </c>
      <c r="H4" s="12" t="s">
        <v>49</v>
      </c>
      <c r="I4" s="12" t="s">
        <v>50</v>
      </c>
      <c r="J4" s="16">
        <v>500.0</v>
      </c>
      <c r="K4" s="17">
        <v>46101.0</v>
      </c>
      <c r="L4" s="17"/>
    </row>
    <row r="5" ht="22.5" customHeight="1">
      <c r="A5" s="12" t="s">
        <v>51</v>
      </c>
      <c r="B5" s="12" t="s">
        <v>52</v>
      </c>
      <c r="C5" s="13" t="s">
        <v>53</v>
      </c>
      <c r="D5" s="12" t="s">
        <v>54</v>
      </c>
      <c r="E5" s="12" t="s">
        <v>55</v>
      </c>
      <c r="F5" s="12" t="s">
        <v>56</v>
      </c>
      <c r="G5" s="12" t="s">
        <v>57</v>
      </c>
      <c r="H5" s="12" t="s">
        <v>49</v>
      </c>
      <c r="I5" s="12" t="s">
        <v>58</v>
      </c>
      <c r="J5" s="16">
        <v>1500.0</v>
      </c>
      <c r="K5" s="17">
        <v>46215.0</v>
      </c>
      <c r="L5" s="17">
        <v>46244.0</v>
      </c>
      <c r="M5" s="8" t="s">
        <v>30</v>
      </c>
    </row>
    <row r="6" ht="22.5" customHeight="1">
      <c r="A6" s="12" t="s">
        <v>59</v>
      </c>
      <c r="B6" s="12" t="s">
        <v>60</v>
      </c>
      <c r="C6" s="13" t="s">
        <v>61</v>
      </c>
      <c r="D6" s="12" t="s">
        <v>62</v>
      </c>
      <c r="E6" s="12" t="s">
        <v>63</v>
      </c>
      <c r="F6" s="12" t="s">
        <v>64</v>
      </c>
      <c r="G6" s="12" t="s">
        <v>48</v>
      </c>
      <c r="H6" s="12" t="s">
        <v>49</v>
      </c>
      <c r="I6" s="12" t="s">
        <v>65</v>
      </c>
      <c r="J6" s="16">
        <v>350.0</v>
      </c>
      <c r="K6" s="17">
        <v>46174.0</v>
      </c>
      <c r="L6" s="17">
        <v>46191.0</v>
      </c>
      <c r="M6" s="8" t="s">
        <v>66</v>
      </c>
    </row>
    <row r="7" ht="22.5" customHeight="1">
      <c r="A7" s="12" t="s">
        <v>961</v>
      </c>
      <c r="B7" s="12" t="s">
        <v>177</v>
      </c>
      <c r="C7" s="13" t="s">
        <v>963</v>
      </c>
      <c r="D7" s="12" t="s">
        <v>971</v>
      </c>
      <c r="E7" s="12" t="s">
        <v>974</v>
      </c>
      <c r="F7" s="12" t="s">
        <v>205</v>
      </c>
      <c r="G7" s="12" t="s">
        <v>133</v>
      </c>
      <c r="H7" s="12" t="s">
        <v>49</v>
      </c>
      <c r="I7" s="12" t="s">
        <v>65</v>
      </c>
      <c r="J7" s="16">
        <v>500.0</v>
      </c>
      <c r="K7" s="17">
        <v>46245.0</v>
      </c>
      <c r="L7" s="17">
        <v>46255.0</v>
      </c>
      <c r="M7" s="8" t="s">
        <v>30</v>
      </c>
    </row>
    <row r="8" ht="22.5" customHeight="1">
      <c r="A8" s="12" t="s">
        <v>70</v>
      </c>
      <c r="B8" s="12" t="s">
        <v>71</v>
      </c>
      <c r="C8" s="13" t="s">
        <v>72</v>
      </c>
      <c r="D8" s="12" t="s">
        <v>73</v>
      </c>
      <c r="E8" s="12" t="s">
        <v>74</v>
      </c>
      <c r="F8" s="12" t="s">
        <v>75</v>
      </c>
      <c r="G8" s="12" t="s">
        <v>39</v>
      </c>
      <c r="H8" s="12" t="s">
        <v>76</v>
      </c>
      <c r="I8" s="12" t="s">
        <v>77</v>
      </c>
      <c r="J8" s="16">
        <v>500.0</v>
      </c>
      <c r="K8" s="17">
        <v>46052.0</v>
      </c>
      <c r="L8" s="17">
        <v>46087.0</v>
      </c>
      <c r="M8" s="8" t="s">
        <v>41</v>
      </c>
    </row>
    <row r="9" ht="22.5" customHeight="1">
      <c r="A9" s="12" t="s">
        <v>587</v>
      </c>
      <c r="B9" s="12" t="s">
        <v>588</v>
      </c>
      <c r="C9" s="13" t="s">
        <v>589</v>
      </c>
      <c r="D9" s="12" t="s">
        <v>590</v>
      </c>
      <c r="E9" s="12" t="s">
        <v>591</v>
      </c>
      <c r="F9" s="12" t="s">
        <v>47</v>
      </c>
      <c r="G9" s="12" t="s">
        <v>57</v>
      </c>
      <c r="H9" s="12" t="s">
        <v>28</v>
      </c>
      <c r="I9" s="12" t="s">
        <v>29</v>
      </c>
      <c r="J9" s="16">
        <v>1200.0</v>
      </c>
      <c r="K9" s="17">
        <v>46232.0</v>
      </c>
      <c r="L9" s="17">
        <v>46254.0</v>
      </c>
    </row>
    <row r="10" ht="22.5" customHeight="1">
      <c r="A10" s="12" t="s">
        <v>83</v>
      </c>
      <c r="B10" s="12" t="s">
        <v>84</v>
      </c>
      <c r="C10" s="13" t="s">
        <v>85</v>
      </c>
      <c r="D10" s="12" t="s">
        <v>86</v>
      </c>
      <c r="E10" s="12" t="s">
        <v>87</v>
      </c>
      <c r="F10" s="12" t="s">
        <v>88</v>
      </c>
      <c r="G10" s="12" t="s">
        <v>27</v>
      </c>
      <c r="H10" s="12" t="s">
        <v>28</v>
      </c>
      <c r="I10" s="12" t="s">
        <v>29</v>
      </c>
      <c r="J10" s="16">
        <v>1500.0</v>
      </c>
      <c r="K10" s="17">
        <v>46095.0</v>
      </c>
      <c r="L10" s="17">
        <v>46129.0</v>
      </c>
      <c r="M10" s="8" t="s">
        <v>41</v>
      </c>
    </row>
    <row r="11" ht="22.5" customHeight="1">
      <c r="A11" s="12" t="s">
        <v>90</v>
      </c>
      <c r="B11" s="12" t="s">
        <v>91</v>
      </c>
      <c r="C11" s="13" t="s">
        <v>92</v>
      </c>
      <c r="D11" s="12" t="s">
        <v>93</v>
      </c>
      <c r="E11" s="12" t="s">
        <v>94</v>
      </c>
      <c r="F11" s="12" t="s">
        <v>56</v>
      </c>
      <c r="G11" s="12" t="s">
        <v>57</v>
      </c>
      <c r="H11" s="12" t="s">
        <v>76</v>
      </c>
      <c r="I11" s="12" t="s">
        <v>77</v>
      </c>
      <c r="J11" s="16">
        <v>350.0</v>
      </c>
      <c r="K11" s="17">
        <v>46180.0</v>
      </c>
      <c r="L11" s="17">
        <v>46181.0</v>
      </c>
      <c r="M11" s="8" t="s">
        <v>95</v>
      </c>
    </row>
    <row r="12" ht="22.5" customHeight="1">
      <c r="A12" s="12" t="s">
        <v>96</v>
      </c>
      <c r="B12" s="12" t="s">
        <v>97</v>
      </c>
      <c r="C12" s="13" t="s">
        <v>98</v>
      </c>
      <c r="D12" s="12" t="s">
        <v>99</v>
      </c>
      <c r="E12" s="12" t="s">
        <v>100</v>
      </c>
      <c r="F12" s="12" t="s">
        <v>82</v>
      </c>
      <c r="G12" s="12" t="s">
        <v>57</v>
      </c>
      <c r="H12" s="12" t="s">
        <v>40</v>
      </c>
      <c r="I12" s="12" t="s">
        <v>77</v>
      </c>
      <c r="J12" s="16">
        <v>1200.0</v>
      </c>
      <c r="K12" s="17">
        <v>46160.0</v>
      </c>
      <c r="L12" s="17"/>
      <c r="M12" s="8" t="s">
        <v>66</v>
      </c>
    </row>
    <row r="13" ht="22.5" customHeight="1">
      <c r="A13" s="12" t="s">
        <v>101</v>
      </c>
      <c r="B13" s="12" t="s">
        <v>102</v>
      </c>
      <c r="C13" s="13" t="s">
        <v>103</v>
      </c>
      <c r="D13" s="12" t="s">
        <v>104</v>
      </c>
      <c r="E13" s="12" t="s">
        <v>105</v>
      </c>
      <c r="F13" s="12" t="s">
        <v>56</v>
      </c>
      <c r="G13" s="12" t="s">
        <v>106</v>
      </c>
      <c r="H13" s="12" t="s">
        <v>28</v>
      </c>
      <c r="I13" s="12" t="s">
        <v>58</v>
      </c>
      <c r="J13" s="16">
        <v>900.0</v>
      </c>
      <c r="K13" s="17">
        <v>46179.0</v>
      </c>
      <c r="L13" s="17">
        <v>46199.0</v>
      </c>
      <c r="M13" s="8" t="s">
        <v>107</v>
      </c>
    </row>
    <row r="14" ht="22.5" customHeight="1">
      <c r="A14" s="12" t="s">
        <v>108</v>
      </c>
      <c r="B14" s="12" t="s">
        <v>109</v>
      </c>
      <c r="C14" s="13" t="s">
        <v>110</v>
      </c>
      <c r="D14" s="12" t="s">
        <v>111</v>
      </c>
      <c r="E14" s="12" t="s">
        <v>112</v>
      </c>
      <c r="F14" s="12" t="s">
        <v>56</v>
      </c>
      <c r="G14" s="12" t="s">
        <v>106</v>
      </c>
      <c r="H14" s="12" t="s">
        <v>76</v>
      </c>
      <c r="I14" s="12" t="s">
        <v>65</v>
      </c>
      <c r="J14" s="16">
        <v>350.0</v>
      </c>
      <c r="K14" s="17">
        <v>46051.0</v>
      </c>
      <c r="L14" s="17">
        <v>46051.0</v>
      </c>
      <c r="M14" s="8" t="s">
        <v>107</v>
      </c>
    </row>
    <row r="15" ht="22.5" customHeight="1">
      <c r="A15" s="12" t="s">
        <v>79</v>
      </c>
      <c r="B15" s="12" t="s">
        <v>80</v>
      </c>
      <c r="C15" s="13" t="s">
        <v>81</v>
      </c>
      <c r="D15" s="12"/>
      <c r="E15" s="12"/>
      <c r="F15" s="12" t="s">
        <v>82</v>
      </c>
      <c r="G15" s="12" t="s">
        <v>57</v>
      </c>
      <c r="H15" s="12" t="s">
        <v>40</v>
      </c>
      <c r="I15" s="12" t="s">
        <v>77</v>
      </c>
      <c r="J15" s="16">
        <v>1500.0</v>
      </c>
      <c r="K15" s="17">
        <v>46030.0</v>
      </c>
      <c r="L15" s="17">
        <v>46043.0</v>
      </c>
      <c r="M15" s="8" t="s">
        <v>30</v>
      </c>
    </row>
    <row r="16" ht="22.5" customHeight="1">
      <c r="A16" s="12" t="s">
        <v>115</v>
      </c>
      <c r="B16" s="12" t="s">
        <v>116</v>
      </c>
      <c r="C16" s="13" t="s">
        <v>117</v>
      </c>
      <c r="D16" s="12" t="s">
        <v>118</v>
      </c>
      <c r="E16" s="12" t="s">
        <v>119</v>
      </c>
      <c r="F16" s="12" t="s">
        <v>120</v>
      </c>
      <c r="G16" s="12" t="s">
        <v>57</v>
      </c>
      <c r="H16" s="12" t="s">
        <v>28</v>
      </c>
      <c r="I16" s="12" t="s">
        <v>50</v>
      </c>
      <c r="J16" s="16">
        <v>2500.0</v>
      </c>
      <c r="K16" s="17">
        <v>46070.0</v>
      </c>
      <c r="L16" s="17">
        <v>46081.0</v>
      </c>
      <c r="M16" s="8" t="s">
        <v>41</v>
      </c>
    </row>
    <row r="17" ht="22.5" customHeight="1">
      <c r="A17" s="12" t="s">
        <v>121</v>
      </c>
      <c r="B17" s="12" t="s">
        <v>122</v>
      </c>
      <c r="C17" s="13" t="s">
        <v>123</v>
      </c>
      <c r="D17" s="12" t="s">
        <v>124</v>
      </c>
      <c r="E17" s="12" t="s">
        <v>125</v>
      </c>
      <c r="F17" s="12" t="s">
        <v>126</v>
      </c>
      <c r="G17" s="12" t="s">
        <v>27</v>
      </c>
      <c r="H17" s="12" t="s">
        <v>28</v>
      </c>
      <c r="I17" s="12" t="s">
        <v>58</v>
      </c>
      <c r="J17" s="16">
        <v>350.0</v>
      </c>
      <c r="K17" s="17">
        <v>46137.0</v>
      </c>
      <c r="L17" s="17">
        <v>46175.0</v>
      </c>
      <c r="M17" s="8" t="s">
        <v>30</v>
      </c>
    </row>
    <row r="18" ht="22.5" customHeight="1">
      <c r="A18" s="12" t="s">
        <v>127</v>
      </c>
      <c r="B18" s="12" t="s">
        <v>128</v>
      </c>
      <c r="C18" s="13" t="s">
        <v>129</v>
      </c>
      <c r="D18" s="12" t="s">
        <v>130</v>
      </c>
      <c r="E18" s="12" t="s">
        <v>131</v>
      </c>
      <c r="F18" s="12" t="s">
        <v>132</v>
      </c>
      <c r="G18" s="12" t="s">
        <v>133</v>
      </c>
      <c r="H18" s="12" t="s">
        <v>28</v>
      </c>
      <c r="I18" s="12" t="s">
        <v>134</v>
      </c>
      <c r="J18" s="16">
        <v>2000.0</v>
      </c>
      <c r="K18" s="17">
        <v>46045.0</v>
      </c>
      <c r="L18" s="17">
        <v>46079.0</v>
      </c>
      <c r="M18" s="8" t="s">
        <v>41</v>
      </c>
    </row>
    <row r="19" ht="22.5" customHeight="1">
      <c r="A19" s="12" t="s">
        <v>135</v>
      </c>
      <c r="B19" s="12" t="s">
        <v>136</v>
      </c>
      <c r="C19" s="13" t="s">
        <v>137</v>
      </c>
      <c r="D19" s="12" t="s">
        <v>138</v>
      </c>
      <c r="E19" s="12" t="s">
        <v>139</v>
      </c>
      <c r="F19" s="12" t="s">
        <v>140</v>
      </c>
      <c r="G19" s="12" t="s">
        <v>57</v>
      </c>
      <c r="H19" s="12" t="s">
        <v>28</v>
      </c>
      <c r="I19" s="12" t="s">
        <v>58</v>
      </c>
      <c r="J19" s="16">
        <v>4500.0</v>
      </c>
      <c r="K19" s="17">
        <v>46245.0</v>
      </c>
      <c r="L19" s="17">
        <v>46255.0</v>
      </c>
      <c r="M19" s="8" t="s">
        <v>107</v>
      </c>
    </row>
    <row r="20" ht="22.5" customHeight="1">
      <c r="A20" s="12" t="s">
        <v>141</v>
      </c>
      <c r="B20" s="12" t="s">
        <v>142</v>
      </c>
      <c r="C20" s="13" t="s">
        <v>143</v>
      </c>
      <c r="D20" s="12" t="s">
        <v>144</v>
      </c>
      <c r="E20" s="12" t="s">
        <v>145</v>
      </c>
      <c r="F20" s="12" t="s">
        <v>126</v>
      </c>
      <c r="G20" s="12" t="s">
        <v>48</v>
      </c>
      <c r="H20" s="12" t="s">
        <v>76</v>
      </c>
      <c r="I20" s="12" t="s">
        <v>50</v>
      </c>
      <c r="J20" s="16">
        <v>3000.0</v>
      </c>
      <c r="K20" s="17">
        <v>46037.0</v>
      </c>
      <c r="L20" s="17">
        <v>46053.0</v>
      </c>
      <c r="M20" s="8" t="s">
        <v>95</v>
      </c>
    </row>
    <row r="21" ht="15.75" customHeight="1">
      <c r="A21" s="12" t="s">
        <v>146</v>
      </c>
      <c r="B21" s="12" t="s">
        <v>147</v>
      </c>
      <c r="C21" s="13" t="s">
        <v>148</v>
      </c>
      <c r="D21" s="12" t="s">
        <v>149</v>
      </c>
      <c r="E21" s="12" t="s">
        <v>150</v>
      </c>
      <c r="F21" s="12" t="s">
        <v>151</v>
      </c>
      <c r="G21" s="12" t="s">
        <v>48</v>
      </c>
      <c r="H21" s="12" t="s">
        <v>28</v>
      </c>
      <c r="I21" s="12" t="s">
        <v>29</v>
      </c>
      <c r="J21" s="16">
        <v>1200.0</v>
      </c>
      <c r="K21" s="17">
        <v>46231.0</v>
      </c>
      <c r="L21" s="17">
        <v>46231.0</v>
      </c>
    </row>
    <row r="22" ht="15.75" customHeight="1">
      <c r="A22" s="12" t="s">
        <v>152</v>
      </c>
      <c r="B22" s="12" t="s">
        <v>153</v>
      </c>
      <c r="C22" s="13" t="s">
        <v>154</v>
      </c>
      <c r="D22" s="12" t="s">
        <v>155</v>
      </c>
      <c r="E22" s="12" t="s">
        <v>156</v>
      </c>
      <c r="F22" s="12" t="s">
        <v>47</v>
      </c>
      <c r="G22" s="12" t="s">
        <v>39</v>
      </c>
      <c r="H22" s="12" t="s">
        <v>76</v>
      </c>
      <c r="I22" s="12" t="s">
        <v>50</v>
      </c>
      <c r="J22" s="16">
        <v>500.0</v>
      </c>
      <c r="K22" s="17">
        <v>46232.0</v>
      </c>
      <c r="L22" s="17">
        <v>46263.0</v>
      </c>
      <c r="M22" s="8" t="s">
        <v>95</v>
      </c>
    </row>
    <row r="23" ht="15.75" customHeight="1">
      <c r="A23" s="12" t="s">
        <v>1001</v>
      </c>
      <c r="B23" s="12" t="s">
        <v>568</v>
      </c>
      <c r="C23" s="13" t="s">
        <v>1002</v>
      </c>
      <c r="D23" s="12" t="s">
        <v>1003</v>
      </c>
      <c r="E23" s="12" t="s">
        <v>173</v>
      </c>
      <c r="F23" s="12" t="s">
        <v>168</v>
      </c>
      <c r="G23" s="12" t="s">
        <v>133</v>
      </c>
      <c r="H23" s="12" t="s">
        <v>28</v>
      </c>
      <c r="I23" s="12" t="s">
        <v>65</v>
      </c>
      <c r="J23" s="16">
        <v>2500.0</v>
      </c>
      <c r="K23" s="17">
        <v>46209.0</v>
      </c>
      <c r="L23" s="17">
        <v>46233.0</v>
      </c>
    </row>
    <row r="24" ht="15.75" customHeight="1">
      <c r="A24" s="12" t="s">
        <v>163</v>
      </c>
      <c r="B24" s="12" t="s">
        <v>164</v>
      </c>
      <c r="C24" s="13" t="s">
        <v>165</v>
      </c>
      <c r="D24" s="12" t="s">
        <v>166</v>
      </c>
      <c r="E24" s="12" t="s">
        <v>167</v>
      </c>
      <c r="F24" s="12" t="s">
        <v>168</v>
      </c>
      <c r="G24" s="12" t="s">
        <v>27</v>
      </c>
      <c r="H24" s="12" t="s">
        <v>49</v>
      </c>
      <c r="I24" s="12" t="s">
        <v>29</v>
      </c>
      <c r="J24" s="16">
        <v>750.0</v>
      </c>
      <c r="K24" s="17">
        <v>46149.0</v>
      </c>
      <c r="L24" s="17">
        <v>46157.0</v>
      </c>
      <c r="M24" s="8" t="s">
        <v>66</v>
      </c>
    </row>
    <row r="25" ht="15.75" customHeight="1">
      <c r="A25" s="12" t="s">
        <v>169</v>
      </c>
      <c r="B25" s="12" t="s">
        <v>170</v>
      </c>
      <c r="C25" s="13" t="s">
        <v>171</v>
      </c>
      <c r="D25" s="12" t="s">
        <v>172</v>
      </c>
      <c r="E25" s="12" t="s">
        <v>173</v>
      </c>
      <c r="F25" s="12" t="s">
        <v>174</v>
      </c>
      <c r="G25" s="12" t="s">
        <v>57</v>
      </c>
      <c r="H25" s="12" t="s">
        <v>76</v>
      </c>
      <c r="I25" s="12" t="s">
        <v>65</v>
      </c>
      <c r="J25" s="16">
        <v>2500.0</v>
      </c>
      <c r="K25" s="17">
        <v>46033.0</v>
      </c>
      <c r="L25" s="17">
        <v>46069.0</v>
      </c>
      <c r="M25" s="8" t="s">
        <v>66</v>
      </c>
    </row>
    <row r="26" ht="15.75" customHeight="1">
      <c r="A26" s="12" t="s">
        <v>176</v>
      </c>
      <c r="B26" s="12" t="s">
        <v>177</v>
      </c>
      <c r="C26" s="13" t="s">
        <v>178</v>
      </c>
      <c r="D26" s="12"/>
      <c r="E26" s="12" t="s">
        <v>179</v>
      </c>
      <c r="F26" s="12" t="s">
        <v>175</v>
      </c>
      <c r="G26" s="12" t="s">
        <v>48</v>
      </c>
      <c r="H26" s="12" t="s">
        <v>40</v>
      </c>
      <c r="I26" s="12" t="s">
        <v>134</v>
      </c>
      <c r="J26" s="16">
        <v>4500.0</v>
      </c>
      <c r="K26" s="17">
        <v>46032.0</v>
      </c>
      <c r="L26" s="17">
        <v>46068.0</v>
      </c>
    </row>
    <row r="27" ht="15.75" customHeight="1">
      <c r="A27" s="12" t="s">
        <v>180</v>
      </c>
      <c r="B27" s="12" t="s">
        <v>181</v>
      </c>
      <c r="C27" s="13" t="s">
        <v>182</v>
      </c>
      <c r="D27" s="12" t="s">
        <v>183</v>
      </c>
      <c r="E27" s="12" t="s">
        <v>184</v>
      </c>
      <c r="F27" s="12" t="s">
        <v>56</v>
      </c>
      <c r="G27" s="12" t="s">
        <v>27</v>
      </c>
      <c r="H27" s="12" t="s">
        <v>40</v>
      </c>
      <c r="I27" s="12" t="s">
        <v>50</v>
      </c>
      <c r="J27" s="16">
        <v>1500.0</v>
      </c>
      <c r="K27" s="17">
        <v>46253.0</v>
      </c>
      <c r="L27" s="17">
        <v>46286.0</v>
      </c>
      <c r="M27" s="8" t="s">
        <v>41</v>
      </c>
    </row>
    <row r="28" ht="15.75" customHeight="1">
      <c r="A28" s="12" t="s">
        <v>185</v>
      </c>
      <c r="B28" s="12" t="s">
        <v>186</v>
      </c>
      <c r="C28" s="52" t="s">
        <v>187</v>
      </c>
      <c r="D28" s="12"/>
      <c r="E28" s="12" t="s">
        <v>190</v>
      </c>
      <c r="F28" s="12" t="s">
        <v>168</v>
      </c>
      <c r="G28" s="12" t="s">
        <v>39</v>
      </c>
      <c r="H28" s="12" t="s">
        <v>76</v>
      </c>
      <c r="I28" s="12" t="s">
        <v>65</v>
      </c>
      <c r="J28" s="16">
        <v>350.0</v>
      </c>
      <c r="K28" s="17">
        <v>46121.0</v>
      </c>
      <c r="L28" s="17">
        <v>46153.0</v>
      </c>
      <c r="M28" s="8" t="s">
        <v>107</v>
      </c>
    </row>
    <row r="29" ht="15.75" customHeight="1">
      <c r="A29" s="12" t="s">
        <v>191</v>
      </c>
      <c r="B29" s="12" t="s">
        <v>192</v>
      </c>
      <c r="C29" s="13" t="s">
        <v>193</v>
      </c>
      <c r="D29" s="12" t="s">
        <v>194</v>
      </c>
      <c r="E29" s="12" t="s">
        <v>195</v>
      </c>
      <c r="F29" s="12" t="s">
        <v>56</v>
      </c>
      <c r="G29" s="12" t="s">
        <v>57</v>
      </c>
      <c r="H29" s="12" t="s">
        <v>49</v>
      </c>
      <c r="I29" s="12" t="s">
        <v>65</v>
      </c>
      <c r="J29" s="16">
        <v>4500.0</v>
      </c>
      <c r="K29" s="17">
        <v>46206.0</v>
      </c>
      <c r="L29" s="17">
        <v>46206.0</v>
      </c>
      <c r="M29" s="8" t="s">
        <v>66</v>
      </c>
    </row>
    <row r="30" ht="15.75" customHeight="1">
      <c r="A30" s="12" t="s">
        <v>196</v>
      </c>
      <c r="B30" s="12" t="s">
        <v>197</v>
      </c>
      <c r="C30" s="13" t="s">
        <v>198</v>
      </c>
      <c r="D30" s="12" t="s">
        <v>199</v>
      </c>
      <c r="E30" s="12" t="s">
        <v>200</v>
      </c>
      <c r="F30" s="12" t="s">
        <v>201</v>
      </c>
      <c r="G30" s="12" t="s">
        <v>27</v>
      </c>
      <c r="H30" s="12" t="s">
        <v>49</v>
      </c>
      <c r="I30" s="12" t="s">
        <v>134</v>
      </c>
      <c r="J30" s="16">
        <v>3000.0</v>
      </c>
      <c r="K30" s="17">
        <v>46103.0</v>
      </c>
      <c r="L30" s="17">
        <v>46112.0</v>
      </c>
    </row>
    <row r="31" ht="15.75" customHeight="1">
      <c r="A31" s="12" t="s">
        <v>202</v>
      </c>
      <c r="B31" s="12" t="s">
        <v>203</v>
      </c>
      <c r="C31" s="13" t="s">
        <v>204</v>
      </c>
      <c r="D31" s="12"/>
      <c r="E31" s="12"/>
      <c r="F31" s="12" t="s">
        <v>205</v>
      </c>
      <c r="G31" s="12" t="s">
        <v>133</v>
      </c>
      <c r="H31" s="12" t="s">
        <v>76</v>
      </c>
      <c r="I31" s="12" t="s">
        <v>50</v>
      </c>
      <c r="J31" s="16">
        <v>2500.0</v>
      </c>
      <c r="K31" s="17">
        <v>46134.0</v>
      </c>
      <c r="L31" s="17">
        <v>46169.0</v>
      </c>
      <c r="M31" s="8" t="s">
        <v>66</v>
      </c>
    </row>
    <row r="32" ht="15.75" customHeight="1">
      <c r="A32" s="12" t="s">
        <v>206</v>
      </c>
      <c r="B32" s="12" t="s">
        <v>207</v>
      </c>
      <c r="C32" s="13" t="s">
        <v>208</v>
      </c>
      <c r="D32" s="12" t="s">
        <v>209</v>
      </c>
      <c r="E32" s="12" t="s">
        <v>210</v>
      </c>
      <c r="F32" s="12" t="s">
        <v>211</v>
      </c>
      <c r="G32" s="12" t="s">
        <v>133</v>
      </c>
      <c r="H32" s="12" t="s">
        <v>28</v>
      </c>
      <c r="I32" s="12" t="s">
        <v>77</v>
      </c>
      <c r="J32" s="16">
        <v>750.0</v>
      </c>
      <c r="K32" s="17">
        <v>46183.0</v>
      </c>
      <c r="L32" s="17">
        <v>46216.0</v>
      </c>
    </row>
    <row r="33" ht="15.75" customHeight="1">
      <c r="A33" s="12" t="s">
        <v>212</v>
      </c>
      <c r="B33" s="12" t="s">
        <v>213</v>
      </c>
      <c r="C33" s="13" t="s">
        <v>214</v>
      </c>
      <c r="D33" s="12"/>
      <c r="E33" s="12" t="s">
        <v>215</v>
      </c>
      <c r="F33" s="12" t="s">
        <v>216</v>
      </c>
      <c r="G33" s="12" t="s">
        <v>27</v>
      </c>
      <c r="H33" s="12" t="s">
        <v>217</v>
      </c>
      <c r="I33" s="12" t="s">
        <v>50</v>
      </c>
      <c r="J33" s="16"/>
      <c r="K33" s="17">
        <v>46095.0</v>
      </c>
      <c r="L33" s="17">
        <v>46099.0</v>
      </c>
      <c r="M33" s="8" t="s">
        <v>66</v>
      </c>
    </row>
    <row r="34" ht="15.75" customHeight="1">
      <c r="A34" s="12" t="s">
        <v>218</v>
      </c>
      <c r="B34" s="12" t="s">
        <v>219</v>
      </c>
      <c r="C34" s="13" t="s">
        <v>221</v>
      </c>
      <c r="D34" s="12" t="s">
        <v>222</v>
      </c>
      <c r="E34" s="12" t="s">
        <v>223</v>
      </c>
      <c r="F34" s="12" t="s">
        <v>120</v>
      </c>
      <c r="G34" s="12" t="s">
        <v>27</v>
      </c>
      <c r="H34" s="12" t="s">
        <v>217</v>
      </c>
      <c r="I34" s="12" t="s">
        <v>65</v>
      </c>
      <c r="J34" s="16">
        <v>750.0</v>
      </c>
      <c r="K34" s="17">
        <v>46190.0</v>
      </c>
      <c r="L34" s="17">
        <v>46192.0</v>
      </c>
      <c r="M34" s="8" t="s">
        <v>41</v>
      </c>
    </row>
    <row r="35" ht="15.75" customHeight="1">
      <c r="A35" s="12" t="s">
        <v>224</v>
      </c>
      <c r="B35" s="12" t="s">
        <v>225</v>
      </c>
      <c r="C35" s="13" t="s">
        <v>226</v>
      </c>
      <c r="D35" s="12" t="s">
        <v>227</v>
      </c>
      <c r="E35" s="12" t="s">
        <v>228</v>
      </c>
      <c r="F35" s="12" t="s">
        <v>64</v>
      </c>
      <c r="G35" s="12" t="s">
        <v>57</v>
      </c>
      <c r="H35" s="12" t="s">
        <v>49</v>
      </c>
      <c r="I35" s="12" t="s">
        <v>65</v>
      </c>
      <c r="J35" s="16">
        <v>3000.0</v>
      </c>
      <c r="K35" s="17">
        <v>46030.0</v>
      </c>
      <c r="L35" s="17">
        <v>46052.0</v>
      </c>
      <c r="M35" s="8" t="s">
        <v>30</v>
      </c>
    </row>
    <row r="36" ht="15.75" customHeight="1">
      <c r="A36" s="12" t="s">
        <v>229</v>
      </c>
      <c r="B36" s="12" t="s">
        <v>230</v>
      </c>
      <c r="C36" s="13" t="s">
        <v>231</v>
      </c>
      <c r="D36" s="12" t="s">
        <v>232</v>
      </c>
      <c r="E36" s="12" t="s">
        <v>105</v>
      </c>
      <c r="F36" s="12" t="s">
        <v>174</v>
      </c>
      <c r="G36" s="12" t="s">
        <v>39</v>
      </c>
      <c r="H36" s="12" t="s">
        <v>76</v>
      </c>
      <c r="I36" s="12" t="s">
        <v>58</v>
      </c>
      <c r="J36" s="16">
        <v>500.0</v>
      </c>
      <c r="K36" s="17">
        <v>46092.0</v>
      </c>
      <c r="L36" s="17">
        <v>46135.0</v>
      </c>
    </row>
    <row r="37" ht="15.75" customHeight="1">
      <c r="A37" s="12" t="s">
        <v>233</v>
      </c>
      <c r="B37" s="12" t="s">
        <v>234</v>
      </c>
      <c r="C37" s="13" t="s">
        <v>235</v>
      </c>
      <c r="D37" s="12" t="s">
        <v>236</v>
      </c>
      <c r="E37" s="12" t="s">
        <v>237</v>
      </c>
      <c r="F37" s="12" t="s">
        <v>47</v>
      </c>
      <c r="G37" s="12" t="s">
        <v>27</v>
      </c>
      <c r="H37" s="12" t="s">
        <v>217</v>
      </c>
      <c r="I37" s="12" t="s">
        <v>77</v>
      </c>
      <c r="J37" s="16">
        <v>4500.0</v>
      </c>
      <c r="K37" s="17">
        <v>46035.0</v>
      </c>
      <c r="L37" s="17">
        <v>46080.0</v>
      </c>
      <c r="M37" s="8" t="s">
        <v>95</v>
      </c>
    </row>
    <row r="38" ht="15.75" customHeight="1">
      <c r="A38" s="12" t="s">
        <v>238</v>
      </c>
      <c r="B38" s="12" t="s">
        <v>239</v>
      </c>
      <c r="C38" s="13" t="s">
        <v>240</v>
      </c>
      <c r="D38" s="12" t="s">
        <v>241</v>
      </c>
      <c r="E38" s="12" t="s">
        <v>242</v>
      </c>
      <c r="F38" s="12" t="s">
        <v>26</v>
      </c>
      <c r="G38" s="12" t="s">
        <v>48</v>
      </c>
      <c r="H38" s="12" t="s">
        <v>217</v>
      </c>
      <c r="I38" s="12" t="s">
        <v>58</v>
      </c>
      <c r="J38" s="16">
        <v>3000.0</v>
      </c>
      <c r="K38" s="17">
        <v>46134.0</v>
      </c>
      <c r="L38" s="17">
        <v>46154.0</v>
      </c>
      <c r="M38" s="8" t="s">
        <v>41</v>
      </c>
    </row>
    <row r="39" ht="15.75" customHeight="1">
      <c r="A39" s="12" t="s">
        <v>243</v>
      </c>
      <c r="B39" s="12" t="s">
        <v>244</v>
      </c>
      <c r="C39" s="13" t="s">
        <v>245</v>
      </c>
      <c r="D39" s="12" t="s">
        <v>246</v>
      </c>
      <c r="E39" s="12" t="s">
        <v>247</v>
      </c>
      <c r="F39" s="12" t="s">
        <v>248</v>
      </c>
      <c r="G39" s="12" t="s">
        <v>106</v>
      </c>
      <c r="H39" s="12" t="s">
        <v>76</v>
      </c>
      <c r="I39" s="12" t="s">
        <v>77</v>
      </c>
      <c r="J39" s="16">
        <v>350.0</v>
      </c>
      <c r="K39" s="17">
        <v>46153.0</v>
      </c>
      <c r="L39" s="17">
        <v>46161.0</v>
      </c>
      <c r="M39" s="8" t="s">
        <v>107</v>
      </c>
    </row>
    <row r="40" ht="15.75" customHeight="1">
      <c r="A40" s="12" t="s">
        <v>249</v>
      </c>
      <c r="B40" s="12" t="s">
        <v>250</v>
      </c>
      <c r="C40" s="13" t="s">
        <v>251</v>
      </c>
      <c r="D40" s="12" t="s">
        <v>252</v>
      </c>
      <c r="E40" s="12"/>
      <c r="F40" s="12" t="s">
        <v>174</v>
      </c>
      <c r="G40" s="12" t="s">
        <v>39</v>
      </c>
      <c r="H40" s="12" t="s">
        <v>40</v>
      </c>
      <c r="I40" s="12" t="s">
        <v>65</v>
      </c>
      <c r="J40" s="16">
        <v>350.0</v>
      </c>
      <c r="K40" s="17">
        <v>46090.0</v>
      </c>
      <c r="L40" s="17">
        <v>46090.0</v>
      </c>
      <c r="M40" s="8" t="s">
        <v>66</v>
      </c>
    </row>
    <row r="41" ht="15.75" customHeight="1">
      <c r="A41" s="12" t="s">
        <v>254</v>
      </c>
      <c r="B41" s="12" t="s">
        <v>255</v>
      </c>
      <c r="C41" s="13" t="s">
        <v>256</v>
      </c>
      <c r="D41" s="12" t="s">
        <v>258</v>
      </c>
      <c r="E41" s="12" t="s">
        <v>259</v>
      </c>
      <c r="F41" s="12" t="s">
        <v>175</v>
      </c>
      <c r="G41" s="12" t="s">
        <v>57</v>
      </c>
      <c r="H41" s="12" t="s">
        <v>40</v>
      </c>
      <c r="I41" s="12" t="s">
        <v>65</v>
      </c>
      <c r="J41" s="16">
        <v>2000.0</v>
      </c>
      <c r="K41" s="17">
        <v>46068.0</v>
      </c>
      <c r="L41" s="17">
        <v>46107.0</v>
      </c>
      <c r="M41" s="8" t="s">
        <v>95</v>
      </c>
    </row>
    <row r="42" ht="15.75" customHeight="1">
      <c r="A42" s="12" t="s">
        <v>261</v>
      </c>
      <c r="B42" s="12" t="s">
        <v>262</v>
      </c>
      <c r="C42" s="52" t="s">
        <v>263</v>
      </c>
      <c r="D42" s="12" t="s">
        <v>265</v>
      </c>
      <c r="E42" s="12" t="s">
        <v>266</v>
      </c>
      <c r="F42" s="12" t="s">
        <v>151</v>
      </c>
      <c r="G42" s="12" t="s">
        <v>133</v>
      </c>
      <c r="H42" s="12" t="s">
        <v>40</v>
      </c>
      <c r="I42" s="12" t="s">
        <v>77</v>
      </c>
      <c r="J42" s="16">
        <v>350.0</v>
      </c>
      <c r="K42" s="17">
        <v>46116.0</v>
      </c>
      <c r="L42" s="17"/>
      <c r="M42" s="8" t="s">
        <v>95</v>
      </c>
    </row>
    <row r="43" ht="15.75" customHeight="1">
      <c r="A43" s="12" t="s">
        <v>267</v>
      </c>
      <c r="B43" s="12" t="s">
        <v>268</v>
      </c>
      <c r="C43" s="13" t="s">
        <v>269</v>
      </c>
      <c r="D43" s="12" t="s">
        <v>270</v>
      </c>
      <c r="E43" s="12" t="s">
        <v>237</v>
      </c>
      <c r="F43" s="12" t="s">
        <v>162</v>
      </c>
      <c r="G43" s="12" t="s">
        <v>57</v>
      </c>
      <c r="H43" s="12" t="s">
        <v>76</v>
      </c>
      <c r="I43" s="12" t="s">
        <v>134</v>
      </c>
      <c r="J43" s="16">
        <v>4500.0</v>
      </c>
      <c r="K43" s="17">
        <v>46155.0</v>
      </c>
      <c r="L43" s="17">
        <v>46174.0</v>
      </c>
      <c r="M43" s="8" t="s">
        <v>30</v>
      </c>
    </row>
    <row r="44" ht="15.75" customHeight="1">
      <c r="A44" s="12" t="s">
        <v>273</v>
      </c>
      <c r="B44" s="12" t="s">
        <v>274</v>
      </c>
      <c r="C44" s="13" t="s">
        <v>275</v>
      </c>
      <c r="D44" s="12" t="s">
        <v>276</v>
      </c>
      <c r="E44" s="12" t="s">
        <v>277</v>
      </c>
      <c r="F44" s="12" t="s">
        <v>38</v>
      </c>
      <c r="G44" s="12" t="s">
        <v>48</v>
      </c>
      <c r="H44" s="12" t="s">
        <v>76</v>
      </c>
      <c r="I44" s="12" t="s">
        <v>58</v>
      </c>
      <c r="J44" s="16">
        <v>900.0</v>
      </c>
      <c r="K44" s="17">
        <v>46264.0</v>
      </c>
      <c r="L44" s="17">
        <v>46289.0</v>
      </c>
      <c r="M44" s="8" t="s">
        <v>107</v>
      </c>
    </row>
    <row r="45" ht="15.75" customHeight="1">
      <c r="A45" s="12" t="s">
        <v>278</v>
      </c>
      <c r="B45" s="12" t="s">
        <v>279</v>
      </c>
      <c r="C45" s="13" t="s">
        <v>280</v>
      </c>
      <c r="D45" s="12" t="s">
        <v>281</v>
      </c>
      <c r="E45" s="12" t="s">
        <v>282</v>
      </c>
      <c r="F45" s="12" t="s">
        <v>283</v>
      </c>
      <c r="G45" s="12" t="s">
        <v>106</v>
      </c>
      <c r="H45" s="12" t="s">
        <v>76</v>
      </c>
      <c r="I45" s="12" t="s">
        <v>29</v>
      </c>
      <c r="J45" s="16">
        <v>1500.0</v>
      </c>
      <c r="K45" s="17">
        <v>46053.0</v>
      </c>
      <c r="L45" s="17">
        <v>46068.0</v>
      </c>
      <c r="M45" s="8" t="s">
        <v>66</v>
      </c>
    </row>
    <row r="46" ht="15.75" customHeight="1">
      <c r="A46" s="12" t="s">
        <v>284</v>
      </c>
      <c r="B46" s="12" t="s">
        <v>285</v>
      </c>
      <c r="C46" s="13" t="s">
        <v>286</v>
      </c>
      <c r="D46" s="12" t="s">
        <v>287</v>
      </c>
      <c r="E46" s="12" t="s">
        <v>288</v>
      </c>
      <c r="F46" s="12" t="s">
        <v>248</v>
      </c>
      <c r="G46" s="12" t="s">
        <v>48</v>
      </c>
      <c r="H46" s="12" t="s">
        <v>28</v>
      </c>
      <c r="I46" s="12" t="s">
        <v>77</v>
      </c>
      <c r="J46" s="16">
        <v>2000.0</v>
      </c>
      <c r="K46" s="17">
        <v>46259.0</v>
      </c>
      <c r="L46" s="17">
        <v>46298.0</v>
      </c>
      <c r="M46" s="8" t="s">
        <v>41</v>
      </c>
    </row>
    <row r="47" ht="15.75" customHeight="1">
      <c r="A47" s="12" t="s">
        <v>289</v>
      </c>
      <c r="B47" s="12" t="s">
        <v>290</v>
      </c>
      <c r="C47" s="13" t="s">
        <v>291</v>
      </c>
      <c r="D47" s="12" t="s">
        <v>292</v>
      </c>
      <c r="E47" s="12" t="s">
        <v>293</v>
      </c>
      <c r="F47" s="12" t="s">
        <v>283</v>
      </c>
      <c r="G47" s="12" t="s">
        <v>48</v>
      </c>
      <c r="H47" s="12" t="s">
        <v>28</v>
      </c>
      <c r="I47" s="12" t="s">
        <v>134</v>
      </c>
      <c r="J47" s="16">
        <v>1500.0</v>
      </c>
      <c r="K47" s="17">
        <v>46043.0</v>
      </c>
      <c r="L47" s="17">
        <v>46059.0</v>
      </c>
      <c r="M47" s="8" t="s">
        <v>30</v>
      </c>
    </row>
    <row r="48" ht="15.75" customHeight="1">
      <c r="A48" s="12" t="s">
        <v>294</v>
      </c>
      <c r="B48" s="12" t="s">
        <v>295</v>
      </c>
      <c r="C48" s="13" t="s">
        <v>296</v>
      </c>
      <c r="D48" s="12"/>
      <c r="E48" s="12" t="s">
        <v>242</v>
      </c>
      <c r="F48" s="12" t="s">
        <v>75</v>
      </c>
      <c r="G48" s="12" t="s">
        <v>39</v>
      </c>
      <c r="H48" s="12" t="s">
        <v>49</v>
      </c>
      <c r="I48" s="12" t="s">
        <v>77</v>
      </c>
      <c r="J48" s="16">
        <v>1500.0</v>
      </c>
      <c r="K48" s="17">
        <v>46173.0</v>
      </c>
      <c r="L48" s="17">
        <v>46174.0</v>
      </c>
      <c r="M48" s="8" t="s">
        <v>41</v>
      </c>
    </row>
    <row r="49" ht="15.75" customHeight="1">
      <c r="A49" s="12" t="s">
        <v>299</v>
      </c>
      <c r="B49" s="12" t="s">
        <v>300</v>
      </c>
      <c r="C49" s="13" t="s">
        <v>301</v>
      </c>
      <c r="D49" s="12"/>
      <c r="E49" s="12" t="s">
        <v>303</v>
      </c>
      <c r="F49" s="12" t="s">
        <v>56</v>
      </c>
      <c r="G49" s="12" t="s">
        <v>106</v>
      </c>
      <c r="H49" s="12" t="s">
        <v>40</v>
      </c>
      <c r="I49" s="12" t="s">
        <v>304</v>
      </c>
      <c r="J49" s="16">
        <v>1200.0</v>
      </c>
      <c r="K49" s="17">
        <v>46187.0</v>
      </c>
      <c r="L49" s="17">
        <v>46204.0</v>
      </c>
    </row>
    <row r="50" ht="15.75" customHeight="1">
      <c r="A50" s="12" t="s">
        <v>1009</v>
      </c>
      <c r="B50" s="12" t="s">
        <v>1010</v>
      </c>
      <c r="C50" s="13" t="s">
        <v>1011</v>
      </c>
      <c r="D50" s="12" t="s">
        <v>1012</v>
      </c>
      <c r="E50" s="12" t="s">
        <v>1013</v>
      </c>
      <c r="F50" s="12" t="s">
        <v>201</v>
      </c>
      <c r="G50" s="12" t="s">
        <v>57</v>
      </c>
      <c r="H50" s="12" t="s">
        <v>76</v>
      </c>
      <c r="I50" s="12" t="s">
        <v>50</v>
      </c>
      <c r="J50" s="16">
        <v>3000.0</v>
      </c>
      <c r="K50" s="17">
        <v>46045.0</v>
      </c>
      <c r="L50" s="17">
        <v>46073.0</v>
      </c>
      <c r="M50" s="8" t="s">
        <v>95</v>
      </c>
    </row>
    <row r="51" ht="15.75" customHeight="1">
      <c r="A51" s="12" t="s">
        <v>308</v>
      </c>
      <c r="B51" s="12" t="s">
        <v>309</v>
      </c>
      <c r="C51" s="13" t="s">
        <v>310</v>
      </c>
      <c r="D51" s="12" t="s">
        <v>311</v>
      </c>
      <c r="E51" s="12" t="s">
        <v>131</v>
      </c>
      <c r="F51" s="12" t="s">
        <v>26</v>
      </c>
      <c r="G51" s="12" t="s">
        <v>39</v>
      </c>
      <c r="H51" s="12" t="s">
        <v>76</v>
      </c>
      <c r="I51" s="12" t="s">
        <v>77</v>
      </c>
      <c r="J51" s="16">
        <v>4500.0</v>
      </c>
      <c r="K51" s="17">
        <v>46244.0</v>
      </c>
      <c r="L51" s="17"/>
      <c r="M51" s="8" t="s">
        <v>41</v>
      </c>
    </row>
    <row r="52" ht="15.75" customHeight="1">
      <c r="A52" s="12" t="s">
        <v>314</v>
      </c>
      <c r="B52" s="12" t="s">
        <v>315</v>
      </c>
      <c r="C52" s="13" t="s">
        <v>316</v>
      </c>
      <c r="D52" s="12" t="s">
        <v>317</v>
      </c>
      <c r="E52" s="12" t="s">
        <v>318</v>
      </c>
      <c r="F52" s="12" t="s">
        <v>82</v>
      </c>
      <c r="G52" s="12" t="s">
        <v>39</v>
      </c>
      <c r="H52" s="12" t="s">
        <v>217</v>
      </c>
      <c r="I52" s="12" t="s">
        <v>50</v>
      </c>
      <c r="J52" s="16">
        <v>750.0</v>
      </c>
      <c r="K52" s="17">
        <v>46260.0</v>
      </c>
      <c r="L52" s="17">
        <v>46289.0</v>
      </c>
      <c r="M52" s="8" t="s">
        <v>41</v>
      </c>
    </row>
    <row r="53" ht="15.75" customHeight="1">
      <c r="A53" s="12" t="s">
        <v>319</v>
      </c>
      <c r="B53" s="12" t="s">
        <v>320</v>
      </c>
      <c r="C53" s="13" t="s">
        <v>322</v>
      </c>
      <c r="D53" s="12" t="s">
        <v>323</v>
      </c>
      <c r="E53" s="12" t="s">
        <v>325</v>
      </c>
      <c r="F53" s="12" t="s">
        <v>168</v>
      </c>
      <c r="G53" s="12" t="s">
        <v>106</v>
      </c>
      <c r="H53" s="12" t="s">
        <v>40</v>
      </c>
      <c r="I53" s="12" t="s">
        <v>58</v>
      </c>
      <c r="J53" s="16"/>
      <c r="K53" s="17">
        <v>46259.0</v>
      </c>
      <c r="L53" s="17">
        <v>46274.0</v>
      </c>
      <c r="M53" s="8" t="s">
        <v>66</v>
      </c>
    </row>
    <row r="54" ht="15.75" customHeight="1">
      <c r="A54" s="12" t="s">
        <v>326</v>
      </c>
      <c r="B54" s="12" t="s">
        <v>327</v>
      </c>
      <c r="C54" s="13" t="s">
        <v>328</v>
      </c>
      <c r="D54" s="12" t="s">
        <v>331</v>
      </c>
      <c r="E54" s="12" t="s">
        <v>332</v>
      </c>
      <c r="F54" s="12" t="s">
        <v>126</v>
      </c>
      <c r="G54" s="12" t="s">
        <v>57</v>
      </c>
      <c r="H54" s="12" t="s">
        <v>28</v>
      </c>
      <c r="I54" s="12" t="s">
        <v>29</v>
      </c>
      <c r="J54" s="16">
        <v>1200.0</v>
      </c>
      <c r="K54" s="17">
        <v>46158.0</v>
      </c>
      <c r="L54" s="17">
        <v>46171.0</v>
      </c>
      <c r="M54" s="8" t="s">
        <v>95</v>
      </c>
    </row>
    <row r="55" ht="15.75" customHeight="1">
      <c r="A55" s="12" t="s">
        <v>335</v>
      </c>
      <c r="B55" s="12" t="s">
        <v>336</v>
      </c>
      <c r="C55" s="13" t="s">
        <v>337</v>
      </c>
      <c r="D55" s="12" t="s">
        <v>338</v>
      </c>
      <c r="E55" s="12" t="s">
        <v>339</v>
      </c>
      <c r="F55" s="12" t="s">
        <v>211</v>
      </c>
      <c r="G55" s="12" t="s">
        <v>48</v>
      </c>
      <c r="H55" s="12" t="s">
        <v>217</v>
      </c>
      <c r="I55" s="12" t="s">
        <v>58</v>
      </c>
      <c r="J55" s="16">
        <v>900.0</v>
      </c>
      <c r="K55" s="17">
        <v>46029.0</v>
      </c>
      <c r="L55" s="17">
        <v>46064.0</v>
      </c>
      <c r="M55" s="8" t="s">
        <v>30</v>
      </c>
    </row>
    <row r="56" ht="15.75" customHeight="1">
      <c r="A56" s="12" t="s">
        <v>341</v>
      </c>
      <c r="B56" s="12" t="s">
        <v>342</v>
      </c>
      <c r="C56" s="13" t="s">
        <v>343</v>
      </c>
      <c r="D56" s="12" t="s">
        <v>346</v>
      </c>
      <c r="E56" s="12" t="s">
        <v>347</v>
      </c>
      <c r="F56" s="12" t="s">
        <v>151</v>
      </c>
      <c r="G56" s="12" t="s">
        <v>133</v>
      </c>
      <c r="H56" s="12" t="s">
        <v>49</v>
      </c>
      <c r="I56" s="12" t="s">
        <v>134</v>
      </c>
      <c r="J56" s="16">
        <v>2000.0</v>
      </c>
      <c r="K56" s="17">
        <v>46264.0</v>
      </c>
      <c r="L56" s="17"/>
      <c r="M56" s="8" t="s">
        <v>107</v>
      </c>
    </row>
    <row r="57" ht="15.75" customHeight="1">
      <c r="A57" s="12" t="s">
        <v>349</v>
      </c>
      <c r="B57" s="12" t="s">
        <v>128</v>
      </c>
      <c r="C57" s="13" t="s">
        <v>350</v>
      </c>
      <c r="D57" s="12" t="s">
        <v>355</v>
      </c>
      <c r="E57" s="12" t="s">
        <v>282</v>
      </c>
      <c r="F57" s="12" t="s">
        <v>132</v>
      </c>
      <c r="G57" s="12" t="s">
        <v>57</v>
      </c>
      <c r="H57" s="12" t="s">
        <v>217</v>
      </c>
      <c r="I57" s="12" t="s">
        <v>77</v>
      </c>
      <c r="J57" s="16">
        <v>4500.0</v>
      </c>
      <c r="K57" s="17">
        <v>46135.0</v>
      </c>
      <c r="L57" s="17">
        <v>46172.0</v>
      </c>
      <c r="M57" s="8" t="s">
        <v>107</v>
      </c>
    </row>
    <row r="58" ht="15.75" customHeight="1">
      <c r="A58" s="12" t="s">
        <v>356</v>
      </c>
      <c r="B58" s="12" t="s">
        <v>357</v>
      </c>
      <c r="C58" s="13" t="s">
        <v>358</v>
      </c>
      <c r="D58" s="12" t="s">
        <v>359</v>
      </c>
      <c r="E58" s="12" t="s">
        <v>360</v>
      </c>
      <c r="F58" s="12" t="s">
        <v>361</v>
      </c>
      <c r="G58" s="12" t="s">
        <v>27</v>
      </c>
      <c r="H58" s="12" t="s">
        <v>40</v>
      </c>
      <c r="I58" s="12" t="s">
        <v>362</v>
      </c>
      <c r="J58" s="16">
        <v>4500.0</v>
      </c>
      <c r="K58" s="17">
        <v>46066.0</v>
      </c>
      <c r="L58" s="17">
        <v>46107.0</v>
      </c>
      <c r="M58" s="8" t="s">
        <v>41</v>
      </c>
    </row>
    <row r="59" ht="15.75" customHeight="1">
      <c r="A59" s="12" t="s">
        <v>363</v>
      </c>
      <c r="B59" s="12" t="s">
        <v>364</v>
      </c>
      <c r="C59" s="13" t="s">
        <v>365</v>
      </c>
      <c r="D59" s="12" t="s">
        <v>366</v>
      </c>
      <c r="E59" s="12" t="s">
        <v>367</v>
      </c>
      <c r="F59" s="12" t="s">
        <v>283</v>
      </c>
      <c r="G59" s="12" t="s">
        <v>106</v>
      </c>
      <c r="H59" s="12" t="s">
        <v>40</v>
      </c>
      <c r="I59" s="12" t="s">
        <v>77</v>
      </c>
      <c r="J59" s="16">
        <v>1200.0</v>
      </c>
      <c r="K59" s="17">
        <v>46255.0</v>
      </c>
      <c r="L59" s="17">
        <v>46290.0</v>
      </c>
      <c r="M59" s="8" t="s">
        <v>41</v>
      </c>
    </row>
    <row r="60" ht="15.75" customHeight="1">
      <c r="A60" s="12" t="s">
        <v>368</v>
      </c>
      <c r="B60" s="12" t="s">
        <v>369</v>
      </c>
      <c r="C60" s="13" t="s">
        <v>370</v>
      </c>
      <c r="D60" s="12" t="s">
        <v>371</v>
      </c>
      <c r="E60" s="12" t="s">
        <v>156</v>
      </c>
      <c r="F60" s="12" t="s">
        <v>283</v>
      </c>
      <c r="G60" s="12" t="s">
        <v>57</v>
      </c>
      <c r="H60" s="12" t="s">
        <v>49</v>
      </c>
      <c r="I60" s="12" t="s">
        <v>77</v>
      </c>
      <c r="J60" s="16">
        <v>500.0</v>
      </c>
      <c r="K60" s="17">
        <v>46216.0</v>
      </c>
      <c r="L60" s="17">
        <v>46239.0</v>
      </c>
    </row>
    <row r="61" ht="15.75" customHeight="1">
      <c r="A61" s="12" t="s">
        <v>157</v>
      </c>
      <c r="B61" s="12" t="s">
        <v>158</v>
      </c>
      <c r="C61" s="13" t="s">
        <v>159</v>
      </c>
      <c r="D61" s="12" t="s">
        <v>160</v>
      </c>
      <c r="E61" s="12" t="s">
        <v>161</v>
      </c>
      <c r="F61" s="12" t="s">
        <v>162</v>
      </c>
      <c r="G61" s="12" t="s">
        <v>48</v>
      </c>
      <c r="H61" s="12" t="s">
        <v>28</v>
      </c>
      <c r="I61" s="12" t="s">
        <v>134</v>
      </c>
      <c r="J61" s="16">
        <v>1500.0</v>
      </c>
      <c r="K61" s="17">
        <v>46253.0</v>
      </c>
      <c r="L61" s="17">
        <v>46275.0</v>
      </c>
      <c r="M61" s="8" t="s">
        <v>66</v>
      </c>
    </row>
    <row r="62" ht="15.75" customHeight="1">
      <c r="A62" s="12" t="s">
        <v>377</v>
      </c>
      <c r="B62" s="12" t="s">
        <v>327</v>
      </c>
      <c r="C62" s="52" t="s">
        <v>379</v>
      </c>
      <c r="D62" s="12" t="s">
        <v>381</v>
      </c>
      <c r="E62" s="12" t="s">
        <v>382</v>
      </c>
      <c r="F62" s="12" t="s">
        <v>211</v>
      </c>
      <c r="G62" s="12" t="s">
        <v>27</v>
      </c>
      <c r="H62" s="12" t="s">
        <v>49</v>
      </c>
      <c r="I62" s="12" t="s">
        <v>50</v>
      </c>
      <c r="J62" s="16">
        <v>2000.0</v>
      </c>
      <c r="K62" s="17">
        <v>46230.0</v>
      </c>
      <c r="L62" s="17">
        <v>46274.0</v>
      </c>
      <c r="M62" s="8" t="s">
        <v>66</v>
      </c>
    </row>
    <row r="63" ht="15.75" customHeight="1">
      <c r="A63" s="12" t="s">
        <v>383</v>
      </c>
      <c r="B63" s="12" t="s">
        <v>384</v>
      </c>
      <c r="C63" s="13" t="s">
        <v>385</v>
      </c>
      <c r="D63" s="12" t="s">
        <v>386</v>
      </c>
      <c r="E63" s="12" t="s">
        <v>387</v>
      </c>
      <c r="F63" s="12" t="s">
        <v>132</v>
      </c>
      <c r="G63" s="12" t="s">
        <v>133</v>
      </c>
      <c r="H63" s="12" t="s">
        <v>217</v>
      </c>
      <c r="I63" s="12" t="s">
        <v>29</v>
      </c>
      <c r="J63" s="16">
        <v>2500.0</v>
      </c>
      <c r="K63" s="17">
        <v>46246.0</v>
      </c>
      <c r="L63" s="17">
        <v>46282.0</v>
      </c>
      <c r="M63" s="8" t="s">
        <v>30</v>
      </c>
    </row>
    <row r="64" ht="15.75" customHeight="1">
      <c r="A64" s="12" t="s">
        <v>388</v>
      </c>
      <c r="B64" s="12" t="s">
        <v>389</v>
      </c>
      <c r="C64" s="13" t="s">
        <v>390</v>
      </c>
      <c r="D64" s="12" t="s">
        <v>391</v>
      </c>
      <c r="E64" s="12" t="s">
        <v>392</v>
      </c>
      <c r="F64" s="12" t="s">
        <v>26</v>
      </c>
      <c r="G64" s="12" t="s">
        <v>27</v>
      </c>
      <c r="H64" s="12" t="s">
        <v>28</v>
      </c>
      <c r="I64" s="12" t="s">
        <v>77</v>
      </c>
      <c r="J64" s="16">
        <v>2000.0</v>
      </c>
      <c r="K64" s="17">
        <v>46116.0</v>
      </c>
      <c r="L64" s="17">
        <v>46132.0</v>
      </c>
      <c r="M64" s="8" t="s">
        <v>41</v>
      </c>
    </row>
    <row r="65" ht="15.75" customHeight="1">
      <c r="A65" s="12" t="s">
        <v>393</v>
      </c>
      <c r="B65" s="12" t="s">
        <v>394</v>
      </c>
      <c r="C65" s="52"/>
      <c r="D65" s="12" t="s">
        <v>395</v>
      </c>
      <c r="E65" s="12" t="s">
        <v>131</v>
      </c>
      <c r="F65" s="12" t="s">
        <v>132</v>
      </c>
      <c r="G65" s="12" t="s">
        <v>27</v>
      </c>
      <c r="H65" s="12" t="s">
        <v>49</v>
      </c>
      <c r="I65" s="12" t="s">
        <v>77</v>
      </c>
      <c r="J65" s="16">
        <v>900.0</v>
      </c>
      <c r="K65" s="17">
        <v>46230.0</v>
      </c>
      <c r="L65" s="17">
        <v>46248.0</v>
      </c>
    </row>
    <row r="66" ht="15.75" customHeight="1">
      <c r="A66" s="12" t="s">
        <v>396</v>
      </c>
      <c r="B66" s="12" t="s">
        <v>397</v>
      </c>
      <c r="C66" s="13" t="s">
        <v>398</v>
      </c>
      <c r="D66" s="12" t="s">
        <v>399</v>
      </c>
      <c r="E66" s="12" t="s">
        <v>400</v>
      </c>
      <c r="F66" s="12" t="s">
        <v>126</v>
      </c>
      <c r="G66" s="12" t="s">
        <v>106</v>
      </c>
      <c r="H66" s="12" t="s">
        <v>217</v>
      </c>
      <c r="I66" s="12" t="s">
        <v>58</v>
      </c>
      <c r="J66" s="16">
        <v>350.0</v>
      </c>
      <c r="K66" s="17">
        <v>46261.0</v>
      </c>
      <c r="L66" s="17"/>
      <c r="M66" s="8" t="s">
        <v>30</v>
      </c>
    </row>
    <row r="67" ht="15.75" customHeight="1">
      <c r="A67" s="12" t="s">
        <v>401</v>
      </c>
      <c r="B67" s="12" t="s">
        <v>402</v>
      </c>
      <c r="C67" s="13" t="s">
        <v>403</v>
      </c>
      <c r="D67" s="12" t="s">
        <v>404</v>
      </c>
      <c r="E67" s="12" t="s">
        <v>405</v>
      </c>
      <c r="F67" s="12" t="s">
        <v>205</v>
      </c>
      <c r="G67" s="12" t="s">
        <v>57</v>
      </c>
      <c r="H67" s="12" t="s">
        <v>76</v>
      </c>
      <c r="I67" s="12" t="s">
        <v>65</v>
      </c>
      <c r="J67" s="16">
        <v>2500.0</v>
      </c>
      <c r="K67" s="17">
        <v>46097.0</v>
      </c>
      <c r="L67" s="17">
        <v>46104.0</v>
      </c>
      <c r="M67" s="8" t="s">
        <v>30</v>
      </c>
    </row>
    <row r="68" ht="15.75" customHeight="1">
      <c r="A68" s="12" t="s">
        <v>406</v>
      </c>
      <c r="B68" s="12" t="s">
        <v>407</v>
      </c>
      <c r="C68" s="13" t="s">
        <v>408</v>
      </c>
      <c r="D68" s="12" t="s">
        <v>409</v>
      </c>
      <c r="E68" s="12" t="s">
        <v>293</v>
      </c>
      <c r="F68" s="12" t="s">
        <v>47</v>
      </c>
      <c r="G68" s="12" t="s">
        <v>48</v>
      </c>
      <c r="H68" s="12" t="s">
        <v>28</v>
      </c>
      <c r="I68" s="12" t="s">
        <v>77</v>
      </c>
      <c r="J68" s="16">
        <v>350.0</v>
      </c>
      <c r="K68" s="17">
        <v>46209.0</v>
      </c>
      <c r="L68" s="17">
        <v>46253.0</v>
      </c>
      <c r="M68" s="8" t="s">
        <v>41</v>
      </c>
    </row>
    <row r="69" ht="15.75" customHeight="1">
      <c r="A69" s="12" t="s">
        <v>410</v>
      </c>
      <c r="B69" s="12" t="s">
        <v>411</v>
      </c>
      <c r="C69" s="13" t="s">
        <v>412</v>
      </c>
      <c r="D69" s="12" t="s">
        <v>413</v>
      </c>
      <c r="E69" s="12" t="s">
        <v>414</v>
      </c>
      <c r="F69" s="12" t="s">
        <v>56</v>
      </c>
      <c r="G69" s="12" t="s">
        <v>133</v>
      </c>
      <c r="H69" s="12" t="s">
        <v>76</v>
      </c>
      <c r="I69" s="12" t="s">
        <v>58</v>
      </c>
      <c r="J69" s="16">
        <v>3000.0</v>
      </c>
      <c r="K69" s="17">
        <v>46239.0</v>
      </c>
      <c r="L69" s="17">
        <v>46255.0</v>
      </c>
      <c r="M69" s="8" t="s">
        <v>66</v>
      </c>
    </row>
    <row r="70" ht="15.75" customHeight="1">
      <c r="A70" s="12" t="s">
        <v>415</v>
      </c>
      <c r="B70" s="12" t="s">
        <v>416</v>
      </c>
      <c r="C70" s="13" t="s">
        <v>417</v>
      </c>
      <c r="D70" s="12" t="s">
        <v>418</v>
      </c>
      <c r="E70" s="12" t="s">
        <v>419</v>
      </c>
      <c r="F70" s="12" t="s">
        <v>151</v>
      </c>
      <c r="G70" s="12" t="s">
        <v>106</v>
      </c>
      <c r="H70" s="12" t="s">
        <v>76</v>
      </c>
      <c r="I70" s="12" t="s">
        <v>29</v>
      </c>
      <c r="J70" s="16">
        <v>1200.0</v>
      </c>
      <c r="K70" s="17">
        <v>46239.0</v>
      </c>
      <c r="L70" s="17">
        <v>46261.0</v>
      </c>
      <c r="M70" s="8" t="s">
        <v>95</v>
      </c>
    </row>
    <row r="71" ht="15.75" customHeight="1">
      <c r="A71" s="12" t="s">
        <v>420</v>
      </c>
      <c r="B71" s="12" t="s">
        <v>421</v>
      </c>
      <c r="C71" s="13" t="s">
        <v>422</v>
      </c>
      <c r="D71" s="12" t="s">
        <v>423</v>
      </c>
      <c r="E71" s="12" t="s">
        <v>424</v>
      </c>
      <c r="F71" s="12" t="s">
        <v>205</v>
      </c>
      <c r="G71" s="12" t="s">
        <v>133</v>
      </c>
      <c r="H71" s="12" t="s">
        <v>28</v>
      </c>
      <c r="I71" s="12" t="s">
        <v>65</v>
      </c>
      <c r="J71" s="16">
        <v>2000.0</v>
      </c>
      <c r="K71" s="17">
        <v>46162.0</v>
      </c>
      <c r="L71" s="17">
        <v>46178.0</v>
      </c>
      <c r="M71" s="8" t="s">
        <v>30</v>
      </c>
    </row>
    <row r="72" ht="15.75" customHeight="1">
      <c r="A72" s="12" t="s">
        <v>425</v>
      </c>
      <c r="B72" s="12" t="s">
        <v>426</v>
      </c>
      <c r="C72" s="13" t="s">
        <v>427</v>
      </c>
      <c r="D72" s="12" t="s">
        <v>428</v>
      </c>
      <c r="E72" s="12" t="s">
        <v>429</v>
      </c>
      <c r="F72" s="12" t="s">
        <v>75</v>
      </c>
      <c r="G72" s="12" t="s">
        <v>39</v>
      </c>
      <c r="H72" s="12" t="s">
        <v>217</v>
      </c>
      <c r="I72" s="12" t="s">
        <v>65</v>
      </c>
      <c r="J72" s="16">
        <v>3000.0</v>
      </c>
      <c r="K72" s="17">
        <v>46031.0</v>
      </c>
      <c r="L72" s="17">
        <v>46043.0</v>
      </c>
      <c r="M72" s="8" t="s">
        <v>95</v>
      </c>
    </row>
    <row r="73" ht="15.75" customHeight="1">
      <c r="A73" s="12" t="s">
        <v>33</v>
      </c>
      <c r="B73" s="12" t="s">
        <v>34</v>
      </c>
      <c r="C73" s="13" t="s">
        <v>35</v>
      </c>
      <c r="D73" s="12" t="s">
        <v>36</v>
      </c>
      <c r="E73" s="12" t="s">
        <v>37</v>
      </c>
      <c r="F73" s="12" t="s">
        <v>38</v>
      </c>
      <c r="G73" s="12" t="s">
        <v>39</v>
      </c>
      <c r="H73" s="12" t="s">
        <v>40</v>
      </c>
      <c r="I73" s="12" t="s">
        <v>29</v>
      </c>
      <c r="J73" s="16">
        <v>3000.0</v>
      </c>
      <c r="K73" s="17">
        <v>46088.0</v>
      </c>
      <c r="L73" s="17">
        <v>46113.0</v>
      </c>
      <c r="M73" s="8" t="s">
        <v>41</v>
      </c>
    </row>
    <row r="74" ht="15.75" customHeight="1">
      <c r="A74" s="12" t="s">
        <v>431</v>
      </c>
      <c r="B74" s="12" t="s">
        <v>432</v>
      </c>
      <c r="C74" s="13" t="s">
        <v>433</v>
      </c>
      <c r="D74" s="12" t="s">
        <v>434</v>
      </c>
      <c r="E74" s="12"/>
      <c r="F74" s="12" t="s">
        <v>88</v>
      </c>
      <c r="G74" s="12" t="s">
        <v>133</v>
      </c>
      <c r="H74" s="12" t="s">
        <v>28</v>
      </c>
      <c r="I74" s="12" t="s">
        <v>134</v>
      </c>
      <c r="J74" s="16">
        <v>2500.0</v>
      </c>
      <c r="K74" s="17">
        <v>46125.0</v>
      </c>
      <c r="L74" s="17">
        <v>46150.0</v>
      </c>
      <c r="M74" s="8" t="s">
        <v>30</v>
      </c>
    </row>
    <row r="75" ht="15.75" customHeight="1">
      <c r="A75" s="12" t="s">
        <v>435</v>
      </c>
      <c r="B75" s="12" t="s">
        <v>436</v>
      </c>
      <c r="C75" s="13" t="s">
        <v>437</v>
      </c>
      <c r="D75" s="12" t="s">
        <v>438</v>
      </c>
      <c r="E75" s="12" t="s">
        <v>439</v>
      </c>
      <c r="F75" s="12" t="s">
        <v>220</v>
      </c>
      <c r="G75" s="12" t="s">
        <v>133</v>
      </c>
      <c r="H75" s="12" t="s">
        <v>40</v>
      </c>
      <c r="I75" s="12" t="s">
        <v>65</v>
      </c>
      <c r="J75" s="16">
        <v>350.0</v>
      </c>
      <c r="K75" s="17">
        <v>46223.0</v>
      </c>
      <c r="L75" s="17">
        <v>46248.0</v>
      </c>
      <c r="M75" s="8" t="s">
        <v>30</v>
      </c>
    </row>
    <row r="76" ht="15.75" customHeight="1">
      <c r="A76" s="12" t="s">
        <v>440</v>
      </c>
      <c r="B76" s="12" t="s">
        <v>441</v>
      </c>
      <c r="C76" s="13" t="s">
        <v>442</v>
      </c>
      <c r="D76" s="12"/>
      <c r="E76" s="12" t="s">
        <v>443</v>
      </c>
      <c r="F76" s="12" t="s">
        <v>216</v>
      </c>
      <c r="G76" s="12" t="s">
        <v>39</v>
      </c>
      <c r="H76" s="12" t="s">
        <v>28</v>
      </c>
      <c r="I76" s="12" t="s">
        <v>29</v>
      </c>
      <c r="J76" s="16">
        <v>4500.0</v>
      </c>
      <c r="K76" s="17">
        <v>46085.0</v>
      </c>
      <c r="L76" s="17">
        <v>46117.0</v>
      </c>
      <c r="M76" s="8" t="s">
        <v>107</v>
      </c>
    </row>
    <row r="77" ht="15.75" customHeight="1">
      <c r="A77" s="12" t="s">
        <v>444</v>
      </c>
      <c r="B77" s="12" t="s">
        <v>445</v>
      </c>
      <c r="C77" s="13" t="s">
        <v>446</v>
      </c>
      <c r="D77" s="12" t="s">
        <v>447</v>
      </c>
      <c r="E77" s="12" t="s">
        <v>448</v>
      </c>
      <c r="F77" s="12" t="s">
        <v>283</v>
      </c>
      <c r="G77" s="12" t="s">
        <v>48</v>
      </c>
      <c r="H77" s="12" t="s">
        <v>76</v>
      </c>
      <c r="I77" s="12" t="s">
        <v>50</v>
      </c>
      <c r="J77" s="16">
        <v>2000.0</v>
      </c>
      <c r="K77" s="17">
        <v>46197.0</v>
      </c>
      <c r="L77" s="17">
        <v>46199.0</v>
      </c>
      <c r="M77" s="8" t="s">
        <v>41</v>
      </c>
    </row>
    <row r="78" ht="15.75" customHeight="1">
      <c r="A78" s="12" t="s">
        <v>449</v>
      </c>
      <c r="B78" s="12" t="s">
        <v>450</v>
      </c>
      <c r="C78" s="13" t="s">
        <v>451</v>
      </c>
      <c r="D78" s="12" t="s">
        <v>452</v>
      </c>
      <c r="E78" s="12" t="s">
        <v>453</v>
      </c>
      <c r="F78" s="12" t="s">
        <v>454</v>
      </c>
      <c r="G78" s="12" t="s">
        <v>27</v>
      </c>
      <c r="H78" s="12" t="s">
        <v>40</v>
      </c>
      <c r="I78" s="12" t="s">
        <v>58</v>
      </c>
      <c r="J78" s="16">
        <v>500.0</v>
      </c>
      <c r="K78" s="17">
        <v>46150.0</v>
      </c>
      <c r="L78" s="17">
        <v>46194.0</v>
      </c>
      <c r="M78" s="8" t="s">
        <v>95</v>
      </c>
    </row>
    <row r="79" ht="15.75" customHeight="1">
      <c r="A79" s="12" t="s">
        <v>455</v>
      </c>
      <c r="B79" s="12" t="s">
        <v>456</v>
      </c>
      <c r="C79" s="13" t="s">
        <v>457</v>
      </c>
      <c r="D79" s="12" t="s">
        <v>458</v>
      </c>
      <c r="E79" s="12" t="s">
        <v>288</v>
      </c>
      <c r="F79" s="12" t="s">
        <v>283</v>
      </c>
      <c r="G79" s="12" t="s">
        <v>39</v>
      </c>
      <c r="H79" s="12" t="s">
        <v>40</v>
      </c>
      <c r="I79" s="12" t="s">
        <v>134</v>
      </c>
      <c r="J79" s="16">
        <v>750.0</v>
      </c>
      <c r="K79" s="17">
        <v>46061.0</v>
      </c>
      <c r="L79" s="17">
        <v>46069.0</v>
      </c>
      <c r="M79" s="8" t="s">
        <v>107</v>
      </c>
    </row>
    <row r="80" ht="15.75" customHeight="1">
      <c r="A80" s="12" t="s">
        <v>459</v>
      </c>
      <c r="B80" s="12" t="s">
        <v>460</v>
      </c>
      <c r="C80" s="13" t="s">
        <v>461</v>
      </c>
      <c r="D80" s="12"/>
      <c r="E80" s="12" t="s">
        <v>462</v>
      </c>
      <c r="F80" s="12" t="s">
        <v>283</v>
      </c>
      <c r="G80" s="12" t="s">
        <v>39</v>
      </c>
      <c r="H80" s="12" t="s">
        <v>28</v>
      </c>
      <c r="I80" s="12" t="s">
        <v>29</v>
      </c>
      <c r="J80" s="16">
        <v>2000.0</v>
      </c>
      <c r="K80" s="17">
        <v>46177.0</v>
      </c>
      <c r="L80" s="17">
        <v>46183.0</v>
      </c>
      <c r="M80" s="8" t="s">
        <v>30</v>
      </c>
    </row>
    <row r="81" ht="15.75" customHeight="1">
      <c r="A81" s="12" t="s">
        <v>463</v>
      </c>
      <c r="B81" s="12" t="s">
        <v>464</v>
      </c>
      <c r="C81" s="13" t="s">
        <v>465</v>
      </c>
      <c r="D81" s="12" t="s">
        <v>466</v>
      </c>
      <c r="E81" s="12" t="s">
        <v>332</v>
      </c>
      <c r="F81" s="12" t="s">
        <v>216</v>
      </c>
      <c r="G81" s="12" t="s">
        <v>57</v>
      </c>
      <c r="H81" s="12" t="s">
        <v>49</v>
      </c>
      <c r="I81" s="12"/>
      <c r="J81" s="16">
        <v>2000.0</v>
      </c>
      <c r="K81" s="17">
        <v>46108.0</v>
      </c>
      <c r="L81" s="17">
        <v>46108.0</v>
      </c>
      <c r="M81" s="8" t="s">
        <v>107</v>
      </c>
    </row>
    <row r="82" ht="15.75" customHeight="1">
      <c r="A82" s="12" t="s">
        <v>467</v>
      </c>
      <c r="B82" s="12" t="s">
        <v>136</v>
      </c>
      <c r="C82" s="13" t="s">
        <v>468</v>
      </c>
      <c r="D82" s="12" t="s">
        <v>469</v>
      </c>
      <c r="E82" s="12" t="s">
        <v>392</v>
      </c>
      <c r="F82" s="12" t="s">
        <v>168</v>
      </c>
      <c r="G82" s="12" t="s">
        <v>57</v>
      </c>
      <c r="H82" s="12" t="s">
        <v>28</v>
      </c>
      <c r="I82" s="12" t="s">
        <v>58</v>
      </c>
      <c r="J82" s="16">
        <v>3000.0</v>
      </c>
      <c r="K82" s="17">
        <v>46033.0</v>
      </c>
      <c r="L82" s="17">
        <v>46075.0</v>
      </c>
      <c r="M82" s="8" t="s">
        <v>41</v>
      </c>
    </row>
    <row r="83" ht="15.75" customHeight="1">
      <c r="A83" s="12" t="s">
        <v>470</v>
      </c>
      <c r="B83" s="12" t="s">
        <v>471</v>
      </c>
      <c r="C83" s="13" t="s">
        <v>472</v>
      </c>
      <c r="D83" s="12" t="s">
        <v>473</v>
      </c>
      <c r="E83" s="12" t="s">
        <v>474</v>
      </c>
      <c r="F83" s="12" t="s">
        <v>168</v>
      </c>
      <c r="G83" s="12" t="s">
        <v>27</v>
      </c>
      <c r="H83" s="12" t="s">
        <v>76</v>
      </c>
      <c r="I83" s="12" t="s">
        <v>134</v>
      </c>
      <c r="J83" s="16">
        <v>350.0</v>
      </c>
      <c r="K83" s="17">
        <v>46250.0</v>
      </c>
      <c r="L83" s="17">
        <v>46262.0</v>
      </c>
      <c r="M83" s="8" t="s">
        <v>41</v>
      </c>
    </row>
    <row r="84" ht="15.75" customHeight="1">
      <c r="A84" s="12" t="s">
        <v>475</v>
      </c>
      <c r="B84" s="12" t="s">
        <v>476</v>
      </c>
      <c r="C84" s="13" t="s">
        <v>477</v>
      </c>
      <c r="D84" s="12" t="s">
        <v>478</v>
      </c>
      <c r="E84" s="12" t="s">
        <v>462</v>
      </c>
      <c r="F84" s="12" t="s">
        <v>168</v>
      </c>
      <c r="G84" s="12" t="s">
        <v>39</v>
      </c>
      <c r="H84" s="12" t="s">
        <v>76</v>
      </c>
      <c r="I84" s="12" t="s">
        <v>77</v>
      </c>
      <c r="J84" s="16">
        <v>4500.0</v>
      </c>
      <c r="K84" s="17">
        <v>46080.0</v>
      </c>
      <c r="L84" s="17">
        <v>46080.0</v>
      </c>
      <c r="M84" s="8" t="s">
        <v>95</v>
      </c>
    </row>
    <row r="85" ht="15.75" customHeight="1">
      <c r="A85" s="12" t="s">
        <v>479</v>
      </c>
      <c r="B85" s="12" t="s">
        <v>480</v>
      </c>
      <c r="C85" s="13" t="s">
        <v>481</v>
      </c>
      <c r="D85" s="12" t="s">
        <v>482</v>
      </c>
      <c r="E85" s="12" t="s">
        <v>483</v>
      </c>
      <c r="F85" s="12" t="s">
        <v>220</v>
      </c>
      <c r="G85" s="12" t="s">
        <v>133</v>
      </c>
      <c r="H85" s="12" t="s">
        <v>217</v>
      </c>
      <c r="I85" s="12" t="s">
        <v>58</v>
      </c>
      <c r="J85" s="16"/>
      <c r="K85" s="17">
        <v>46247.0</v>
      </c>
      <c r="L85" s="17">
        <v>46283.0</v>
      </c>
      <c r="M85" s="8" t="s">
        <v>95</v>
      </c>
    </row>
    <row r="86" ht="15.75" customHeight="1">
      <c r="A86" s="12" t="s">
        <v>484</v>
      </c>
      <c r="B86" s="12" t="s">
        <v>485</v>
      </c>
      <c r="C86" s="52"/>
      <c r="D86" s="12" t="s">
        <v>487</v>
      </c>
      <c r="E86" s="12" t="s">
        <v>488</v>
      </c>
      <c r="F86" s="12" t="s">
        <v>489</v>
      </c>
      <c r="G86" s="12" t="s">
        <v>133</v>
      </c>
      <c r="H86" s="12" t="s">
        <v>76</v>
      </c>
      <c r="I86" s="12" t="s">
        <v>65</v>
      </c>
      <c r="J86" s="16">
        <v>500.0</v>
      </c>
      <c r="K86" s="17">
        <v>46060.0</v>
      </c>
      <c r="L86" s="17">
        <v>46097.0</v>
      </c>
      <c r="M86" s="8" t="s">
        <v>30</v>
      </c>
    </row>
    <row r="87" ht="15.75" customHeight="1">
      <c r="A87" s="12" t="s">
        <v>490</v>
      </c>
      <c r="B87" s="12" t="s">
        <v>491</v>
      </c>
      <c r="C87" s="13" t="s">
        <v>492</v>
      </c>
      <c r="D87" s="12" t="s">
        <v>493</v>
      </c>
      <c r="E87" s="12" t="s">
        <v>494</v>
      </c>
      <c r="F87" s="12" t="s">
        <v>26</v>
      </c>
      <c r="G87" s="12" t="s">
        <v>27</v>
      </c>
      <c r="H87" s="12" t="s">
        <v>28</v>
      </c>
      <c r="I87" s="12" t="s">
        <v>58</v>
      </c>
      <c r="J87" s="16">
        <v>4500.0</v>
      </c>
      <c r="K87" s="17">
        <v>46097.0</v>
      </c>
      <c r="L87" s="17">
        <v>46105.0</v>
      </c>
    </row>
    <row r="88" ht="15.75" customHeight="1">
      <c r="A88" s="12" t="s">
        <v>499</v>
      </c>
      <c r="B88" s="12" t="s">
        <v>500</v>
      </c>
      <c r="C88" s="13" t="s">
        <v>502</v>
      </c>
      <c r="D88" s="12" t="s">
        <v>508</v>
      </c>
      <c r="E88" s="12" t="s">
        <v>509</v>
      </c>
      <c r="F88" s="12" t="s">
        <v>454</v>
      </c>
      <c r="G88" s="12" t="s">
        <v>133</v>
      </c>
      <c r="H88" s="12" t="s">
        <v>28</v>
      </c>
      <c r="I88" s="12" t="s">
        <v>77</v>
      </c>
      <c r="J88" s="16">
        <v>2000.0</v>
      </c>
      <c r="K88" s="17">
        <v>46107.0</v>
      </c>
      <c r="L88" s="17">
        <v>46136.0</v>
      </c>
      <c r="M88" s="8" t="s">
        <v>95</v>
      </c>
    </row>
    <row r="89" ht="15.75" customHeight="1">
      <c r="A89" s="12" t="s">
        <v>516</v>
      </c>
      <c r="B89" s="12" t="s">
        <v>517</v>
      </c>
      <c r="C89" s="13" t="s">
        <v>518</v>
      </c>
      <c r="D89" s="12" t="s">
        <v>522</v>
      </c>
      <c r="E89" s="12" t="s">
        <v>259</v>
      </c>
      <c r="F89" s="12" t="s">
        <v>489</v>
      </c>
      <c r="G89" s="12" t="s">
        <v>48</v>
      </c>
      <c r="H89" s="12" t="s">
        <v>40</v>
      </c>
      <c r="I89" s="12"/>
      <c r="J89" s="16">
        <v>3000.0</v>
      </c>
      <c r="K89" s="17">
        <v>46060.0</v>
      </c>
      <c r="L89" s="17">
        <v>46075.0</v>
      </c>
      <c r="M89" s="8" t="s">
        <v>66</v>
      </c>
    </row>
    <row r="90" ht="15.75" customHeight="1">
      <c r="A90" s="12" t="s">
        <v>530</v>
      </c>
      <c r="B90" s="12" t="s">
        <v>531</v>
      </c>
      <c r="C90" s="13" t="s">
        <v>532</v>
      </c>
      <c r="D90" s="12" t="s">
        <v>537</v>
      </c>
      <c r="E90" s="12" t="s">
        <v>167</v>
      </c>
      <c r="F90" s="12" t="s">
        <v>538</v>
      </c>
      <c r="G90" s="12" t="s">
        <v>27</v>
      </c>
      <c r="H90" s="12" t="s">
        <v>28</v>
      </c>
      <c r="I90" s="12" t="s">
        <v>58</v>
      </c>
      <c r="J90" s="16">
        <v>1500.0</v>
      </c>
      <c r="K90" s="17">
        <v>46214.0</v>
      </c>
      <c r="L90" s="17">
        <v>46255.0</v>
      </c>
      <c r="M90" s="8" t="s">
        <v>66</v>
      </c>
    </row>
    <row r="91" ht="15.75" customHeight="1">
      <c r="A91" s="12" t="s">
        <v>541</v>
      </c>
      <c r="B91" s="12" t="s">
        <v>542</v>
      </c>
      <c r="C91" s="13" t="s">
        <v>543</v>
      </c>
      <c r="D91" s="12" t="s">
        <v>544</v>
      </c>
      <c r="E91" s="12" t="s">
        <v>545</v>
      </c>
      <c r="F91" s="12" t="s">
        <v>546</v>
      </c>
      <c r="G91" s="12" t="s">
        <v>39</v>
      </c>
      <c r="H91" s="12" t="s">
        <v>217</v>
      </c>
      <c r="I91" s="12" t="s">
        <v>65</v>
      </c>
      <c r="J91" s="16">
        <v>1200.0</v>
      </c>
      <c r="K91" s="17">
        <v>46267.0</v>
      </c>
      <c r="L91" s="17">
        <v>46287.0</v>
      </c>
    </row>
    <row r="92" ht="15.75" customHeight="1">
      <c r="A92" s="12" t="s">
        <v>547</v>
      </c>
      <c r="B92" s="12" t="s">
        <v>320</v>
      </c>
      <c r="C92" s="13" t="s">
        <v>548</v>
      </c>
      <c r="D92" s="12" t="s">
        <v>549</v>
      </c>
      <c r="E92" s="12"/>
      <c r="F92" s="12" t="s">
        <v>175</v>
      </c>
      <c r="G92" s="12" t="s">
        <v>39</v>
      </c>
      <c r="H92" s="12" t="s">
        <v>49</v>
      </c>
      <c r="I92" s="12" t="s">
        <v>65</v>
      </c>
      <c r="J92" s="16">
        <v>2000.0</v>
      </c>
      <c r="K92" s="17">
        <v>46253.0</v>
      </c>
      <c r="L92" s="17">
        <v>46266.0</v>
      </c>
      <c r="M92" s="8" t="s">
        <v>41</v>
      </c>
    </row>
    <row r="93" ht="15.75" customHeight="1">
      <c r="A93" s="12" t="s">
        <v>550</v>
      </c>
      <c r="B93" s="12" t="s">
        <v>551</v>
      </c>
      <c r="C93" s="13" t="s">
        <v>552</v>
      </c>
      <c r="D93" s="12" t="s">
        <v>553</v>
      </c>
      <c r="E93" s="12" t="s">
        <v>554</v>
      </c>
      <c r="F93" s="12" t="s">
        <v>26</v>
      </c>
      <c r="G93" s="12" t="s">
        <v>133</v>
      </c>
      <c r="H93" s="12" t="s">
        <v>40</v>
      </c>
      <c r="I93" s="12" t="s">
        <v>29</v>
      </c>
      <c r="J93" s="16">
        <v>750.0</v>
      </c>
      <c r="K93" s="17">
        <v>46120.0</v>
      </c>
      <c r="L93" s="17">
        <v>46159.0</v>
      </c>
      <c r="M93" s="8" t="s">
        <v>66</v>
      </c>
    </row>
    <row r="94" ht="15.75" customHeight="1">
      <c r="A94" s="12" t="s">
        <v>555</v>
      </c>
      <c r="B94" s="12" t="s">
        <v>476</v>
      </c>
      <c r="C94" s="13" t="s">
        <v>556</v>
      </c>
      <c r="D94" s="12" t="s">
        <v>557</v>
      </c>
      <c r="E94" s="12" t="s">
        <v>112</v>
      </c>
      <c r="F94" s="12" t="s">
        <v>538</v>
      </c>
      <c r="G94" s="12" t="s">
        <v>48</v>
      </c>
      <c r="H94" s="12" t="s">
        <v>217</v>
      </c>
      <c r="I94" s="12" t="s">
        <v>77</v>
      </c>
      <c r="J94" s="16">
        <v>1500.0</v>
      </c>
      <c r="K94" s="17">
        <v>46080.0</v>
      </c>
      <c r="L94" s="17">
        <v>46113.0</v>
      </c>
      <c r="M94" s="8" t="s">
        <v>30</v>
      </c>
    </row>
    <row r="95" ht="15.75" customHeight="1">
      <c r="A95" s="12" t="s">
        <v>558</v>
      </c>
      <c r="B95" s="12" t="s">
        <v>559</v>
      </c>
      <c r="C95" s="13" t="s">
        <v>560</v>
      </c>
      <c r="D95" s="12" t="s">
        <v>561</v>
      </c>
      <c r="E95" s="12" t="s">
        <v>562</v>
      </c>
      <c r="F95" s="12" t="s">
        <v>140</v>
      </c>
      <c r="G95" s="12" t="s">
        <v>106</v>
      </c>
      <c r="H95" s="12" t="s">
        <v>40</v>
      </c>
      <c r="I95" s="12" t="s">
        <v>29</v>
      </c>
      <c r="J95" s="16">
        <v>2500.0</v>
      </c>
      <c r="K95" s="17">
        <v>46055.0</v>
      </c>
      <c r="L95" s="17">
        <v>46064.0</v>
      </c>
      <c r="M95" s="8" t="s">
        <v>66</v>
      </c>
    </row>
    <row r="96" ht="15.75" customHeight="1">
      <c r="A96" s="12" t="s">
        <v>563</v>
      </c>
      <c r="B96" s="12" t="s">
        <v>564</v>
      </c>
      <c r="C96" s="13" t="s">
        <v>565</v>
      </c>
      <c r="D96" s="12" t="s">
        <v>566</v>
      </c>
      <c r="E96" s="12" t="s">
        <v>453</v>
      </c>
      <c r="F96" s="12" t="s">
        <v>175</v>
      </c>
      <c r="G96" s="12" t="s">
        <v>27</v>
      </c>
      <c r="H96" s="12" t="s">
        <v>40</v>
      </c>
      <c r="I96" s="12" t="s">
        <v>58</v>
      </c>
      <c r="J96" s="16"/>
      <c r="K96" s="17">
        <v>46256.0</v>
      </c>
      <c r="L96" s="17">
        <v>46290.0</v>
      </c>
    </row>
    <row r="97" ht="15.75" customHeight="1">
      <c r="A97" s="12" t="s">
        <v>567</v>
      </c>
      <c r="B97" s="12" t="s">
        <v>568</v>
      </c>
      <c r="C97" s="13" t="s">
        <v>569</v>
      </c>
      <c r="D97" s="12" t="s">
        <v>570</v>
      </c>
      <c r="E97" s="12" t="s">
        <v>571</v>
      </c>
      <c r="F97" s="12" t="s">
        <v>248</v>
      </c>
      <c r="G97" s="12" t="s">
        <v>57</v>
      </c>
      <c r="H97" s="12" t="s">
        <v>217</v>
      </c>
      <c r="I97" s="12" t="s">
        <v>50</v>
      </c>
      <c r="J97" s="16"/>
      <c r="K97" s="17">
        <v>46043.0</v>
      </c>
      <c r="L97" s="17">
        <v>46051.0</v>
      </c>
      <c r="M97" s="8" t="s">
        <v>41</v>
      </c>
    </row>
    <row r="98" ht="15.75" customHeight="1">
      <c r="A98" s="12" t="s">
        <v>572</v>
      </c>
      <c r="B98" s="12" t="s">
        <v>573</v>
      </c>
      <c r="C98" s="13" t="s">
        <v>574</v>
      </c>
      <c r="D98" s="12" t="s">
        <v>575</v>
      </c>
      <c r="E98" s="12" t="s">
        <v>576</v>
      </c>
      <c r="F98" s="12" t="s">
        <v>162</v>
      </c>
      <c r="G98" s="12" t="s">
        <v>39</v>
      </c>
      <c r="H98" s="12" t="s">
        <v>217</v>
      </c>
      <c r="I98" s="12" t="s">
        <v>577</v>
      </c>
      <c r="J98" s="16">
        <v>2000.0</v>
      </c>
      <c r="K98" s="17">
        <v>46141.0</v>
      </c>
      <c r="L98" s="17">
        <v>46158.0</v>
      </c>
      <c r="M98" s="8" t="s">
        <v>30</v>
      </c>
    </row>
    <row r="99" ht="15.75" customHeight="1">
      <c r="A99" s="12" t="s">
        <v>578</v>
      </c>
      <c r="B99" s="12" t="s">
        <v>579</v>
      </c>
      <c r="C99" s="52"/>
      <c r="D99" s="12" t="s">
        <v>580</v>
      </c>
      <c r="E99" s="12" t="s">
        <v>581</v>
      </c>
      <c r="F99" s="12" t="s">
        <v>582</v>
      </c>
      <c r="G99" s="12" t="s">
        <v>57</v>
      </c>
      <c r="H99" s="12" t="s">
        <v>76</v>
      </c>
      <c r="I99" s="12" t="s">
        <v>77</v>
      </c>
      <c r="J99" s="16">
        <v>2000.0</v>
      </c>
      <c r="K99" s="17">
        <v>46041.0</v>
      </c>
      <c r="L99" s="17">
        <v>46061.0</v>
      </c>
      <c r="M99" s="8" t="s">
        <v>66</v>
      </c>
    </row>
    <row r="100" ht="15.75" customHeight="1">
      <c r="A100" s="12" t="s">
        <v>583</v>
      </c>
      <c r="B100" s="12" t="s">
        <v>584</v>
      </c>
      <c r="C100" s="13" t="s">
        <v>585</v>
      </c>
      <c r="D100" s="12" t="s">
        <v>586</v>
      </c>
      <c r="E100" s="12" t="s">
        <v>131</v>
      </c>
      <c r="F100" s="12" t="s">
        <v>47</v>
      </c>
      <c r="G100" s="12" t="s">
        <v>133</v>
      </c>
      <c r="H100" s="12" t="s">
        <v>40</v>
      </c>
      <c r="I100" s="12" t="s">
        <v>134</v>
      </c>
      <c r="J100" s="16">
        <v>1500.0</v>
      </c>
      <c r="K100" s="17">
        <v>46183.0</v>
      </c>
      <c r="L100" s="17">
        <v>46199.0</v>
      </c>
      <c r="M100" s="8" t="s">
        <v>107</v>
      </c>
    </row>
    <row r="101" ht="15.75" customHeight="1">
      <c r="A101" s="12" t="s">
        <v>372</v>
      </c>
      <c r="B101" s="12" t="s">
        <v>373</v>
      </c>
      <c r="C101" s="13" t="s">
        <v>374</v>
      </c>
      <c r="D101" s="12" t="s">
        <v>375</v>
      </c>
      <c r="E101" s="12" t="s">
        <v>376</v>
      </c>
      <c r="F101" s="12" t="s">
        <v>162</v>
      </c>
      <c r="G101" s="12" t="s">
        <v>48</v>
      </c>
      <c r="H101" s="12" t="s">
        <v>76</v>
      </c>
      <c r="I101" s="12" t="s">
        <v>58</v>
      </c>
      <c r="J101" s="16">
        <v>350.0</v>
      </c>
      <c r="K101" s="17">
        <v>46191.0</v>
      </c>
      <c r="L101" s="17">
        <v>46214.0</v>
      </c>
    </row>
    <row r="102" ht="15.75" customHeight="1">
      <c r="A102" s="12" t="s">
        <v>592</v>
      </c>
      <c r="B102" s="12" t="s">
        <v>593</v>
      </c>
      <c r="C102" s="13" t="s">
        <v>594</v>
      </c>
      <c r="D102" s="12" t="s">
        <v>595</v>
      </c>
      <c r="E102" s="12" t="s">
        <v>100</v>
      </c>
      <c r="F102" s="12" t="s">
        <v>140</v>
      </c>
      <c r="G102" s="12" t="s">
        <v>39</v>
      </c>
      <c r="H102" s="12" t="s">
        <v>28</v>
      </c>
      <c r="I102" s="12" t="s">
        <v>29</v>
      </c>
      <c r="J102" s="16">
        <v>2500.0</v>
      </c>
      <c r="K102" s="17">
        <v>46131.0</v>
      </c>
      <c r="L102" s="17">
        <v>46160.0</v>
      </c>
      <c r="M102" s="8" t="s">
        <v>107</v>
      </c>
    </row>
    <row r="103" ht="15.75" customHeight="1">
      <c r="A103" s="12" t="s">
        <v>596</v>
      </c>
      <c r="B103" s="12" t="s">
        <v>369</v>
      </c>
      <c r="C103" s="13" t="s">
        <v>597</v>
      </c>
      <c r="D103" s="12" t="s">
        <v>598</v>
      </c>
      <c r="E103" s="12" t="s">
        <v>571</v>
      </c>
      <c r="F103" s="12" t="s">
        <v>47</v>
      </c>
      <c r="G103" s="12" t="s">
        <v>27</v>
      </c>
      <c r="H103" s="12" t="s">
        <v>217</v>
      </c>
      <c r="I103" s="12" t="s">
        <v>134</v>
      </c>
      <c r="J103" s="16">
        <v>2000.0</v>
      </c>
      <c r="K103" s="17">
        <v>46227.0</v>
      </c>
      <c r="L103" s="17">
        <v>46247.0</v>
      </c>
      <c r="M103" s="8" t="s">
        <v>41</v>
      </c>
    </row>
    <row r="104" ht="15.75" customHeight="1">
      <c r="A104" s="12" t="s">
        <v>599</v>
      </c>
      <c r="B104" s="12" t="s">
        <v>600</v>
      </c>
      <c r="C104" s="13" t="s">
        <v>601</v>
      </c>
      <c r="D104" s="12" t="s">
        <v>602</v>
      </c>
      <c r="E104" s="12" t="s">
        <v>603</v>
      </c>
      <c r="F104" s="12" t="s">
        <v>205</v>
      </c>
      <c r="G104" s="12" t="s">
        <v>106</v>
      </c>
      <c r="H104" s="12" t="s">
        <v>28</v>
      </c>
      <c r="I104" s="12" t="s">
        <v>65</v>
      </c>
      <c r="J104" s="16">
        <v>4500.0</v>
      </c>
      <c r="K104" s="17">
        <v>46075.0</v>
      </c>
      <c r="L104" s="17">
        <v>46099.0</v>
      </c>
      <c r="M104" s="8" t="s">
        <v>107</v>
      </c>
    </row>
    <row r="105" ht="15.75" customHeight="1">
      <c r="A105" s="12" t="s">
        <v>604</v>
      </c>
      <c r="B105" s="12" t="s">
        <v>605</v>
      </c>
      <c r="C105" s="13" t="s">
        <v>606</v>
      </c>
      <c r="D105" s="12" t="s">
        <v>607</v>
      </c>
      <c r="E105" s="12" t="s">
        <v>608</v>
      </c>
      <c r="F105" s="12" t="s">
        <v>489</v>
      </c>
      <c r="G105" s="12" t="s">
        <v>133</v>
      </c>
      <c r="H105" s="12" t="s">
        <v>28</v>
      </c>
      <c r="I105" s="12" t="s">
        <v>609</v>
      </c>
      <c r="J105" s="16">
        <v>4500.0</v>
      </c>
      <c r="K105" s="17">
        <v>46157.0</v>
      </c>
      <c r="L105" s="17">
        <v>46184.0</v>
      </c>
    </row>
    <row r="106" ht="15.75" customHeight="1">
      <c r="A106" s="12" t="s">
        <v>610</v>
      </c>
      <c r="B106" s="12" t="s">
        <v>542</v>
      </c>
      <c r="C106" s="13" t="s">
        <v>611</v>
      </c>
      <c r="D106" s="12" t="s">
        <v>612</v>
      </c>
      <c r="E106" s="12" t="s">
        <v>237</v>
      </c>
      <c r="F106" s="12" t="s">
        <v>361</v>
      </c>
      <c r="G106" s="12" t="s">
        <v>39</v>
      </c>
      <c r="H106" s="12" t="s">
        <v>40</v>
      </c>
      <c r="I106" s="12" t="s">
        <v>50</v>
      </c>
      <c r="J106" s="16">
        <v>2500.0</v>
      </c>
      <c r="K106" s="17">
        <v>46112.0</v>
      </c>
      <c r="L106" s="17">
        <v>46123.0</v>
      </c>
      <c r="M106" s="8" t="s">
        <v>30</v>
      </c>
    </row>
    <row r="107" ht="15.75" customHeight="1">
      <c r="A107" s="12" t="s">
        <v>613</v>
      </c>
      <c r="B107" s="12" t="s">
        <v>614</v>
      </c>
      <c r="C107" s="13" t="s">
        <v>615</v>
      </c>
      <c r="D107" s="12" t="s">
        <v>616</v>
      </c>
      <c r="E107" s="12" t="s">
        <v>617</v>
      </c>
      <c r="F107" s="12" t="s">
        <v>26</v>
      </c>
      <c r="G107" s="12" t="s">
        <v>106</v>
      </c>
      <c r="H107" s="12" t="s">
        <v>40</v>
      </c>
      <c r="I107" s="12" t="s">
        <v>65</v>
      </c>
      <c r="J107" s="16">
        <v>900.0</v>
      </c>
      <c r="K107" s="17">
        <v>46247.0</v>
      </c>
      <c r="L107" s="17">
        <v>46290.0</v>
      </c>
      <c r="M107" s="8" t="s">
        <v>30</v>
      </c>
    </row>
    <row r="108" ht="15.75" customHeight="1">
      <c r="A108" s="12" t="s">
        <v>618</v>
      </c>
      <c r="B108" s="12" t="s">
        <v>619</v>
      </c>
      <c r="C108" s="13" t="s">
        <v>621</v>
      </c>
      <c r="D108" s="12" t="s">
        <v>622</v>
      </c>
      <c r="E108" s="12" t="s">
        <v>453</v>
      </c>
      <c r="F108" s="12" t="s">
        <v>220</v>
      </c>
      <c r="G108" s="12" t="s">
        <v>48</v>
      </c>
      <c r="H108" s="12" t="s">
        <v>76</v>
      </c>
      <c r="I108" s="12" t="s">
        <v>77</v>
      </c>
      <c r="J108" s="16">
        <v>750.0</v>
      </c>
      <c r="K108" s="17">
        <v>46111.0</v>
      </c>
      <c r="L108" s="17">
        <v>46144.0</v>
      </c>
    </row>
    <row r="109" ht="15.75" customHeight="1">
      <c r="A109" s="12" t="s">
        <v>624</v>
      </c>
      <c r="B109" s="12" t="s">
        <v>625</v>
      </c>
      <c r="C109" s="13" t="s">
        <v>626</v>
      </c>
      <c r="D109" s="12" t="s">
        <v>627</v>
      </c>
      <c r="E109" s="12" t="s">
        <v>210</v>
      </c>
      <c r="F109" s="12" t="s">
        <v>174</v>
      </c>
      <c r="G109" s="12" t="s">
        <v>57</v>
      </c>
      <c r="H109" s="12" t="s">
        <v>40</v>
      </c>
      <c r="I109" s="12" t="s">
        <v>77</v>
      </c>
      <c r="J109" s="16">
        <v>900.0</v>
      </c>
      <c r="K109" s="17">
        <v>46087.0</v>
      </c>
      <c r="L109" s="17">
        <v>46107.0</v>
      </c>
      <c r="M109" s="8" t="s">
        <v>66</v>
      </c>
    </row>
    <row r="110" ht="15.75" customHeight="1">
      <c r="A110" s="12" t="s">
        <v>629</v>
      </c>
      <c r="B110" s="12" t="s">
        <v>630</v>
      </c>
      <c r="C110" s="13" t="s">
        <v>631</v>
      </c>
      <c r="D110" s="12" t="s">
        <v>633</v>
      </c>
      <c r="E110" s="12" t="s">
        <v>634</v>
      </c>
      <c r="F110" s="12" t="s">
        <v>38</v>
      </c>
      <c r="G110" s="12" t="s">
        <v>57</v>
      </c>
      <c r="H110" s="12" t="s">
        <v>49</v>
      </c>
      <c r="I110" s="12" t="s">
        <v>29</v>
      </c>
      <c r="J110" s="16">
        <v>3000.0</v>
      </c>
      <c r="K110" s="17">
        <v>46153.0</v>
      </c>
      <c r="L110" s="17">
        <v>46171.0</v>
      </c>
    </row>
    <row r="111" ht="15.75" customHeight="1">
      <c r="A111" s="12" t="s">
        <v>636</v>
      </c>
      <c r="B111" s="12" t="s">
        <v>637</v>
      </c>
      <c r="C111" s="13" t="s">
        <v>638</v>
      </c>
      <c r="D111" s="12" t="s">
        <v>639</v>
      </c>
      <c r="E111" s="12" t="s">
        <v>640</v>
      </c>
      <c r="F111" s="12" t="s">
        <v>454</v>
      </c>
      <c r="G111" s="12" t="s">
        <v>106</v>
      </c>
      <c r="H111" s="12" t="s">
        <v>76</v>
      </c>
      <c r="I111" s="12" t="s">
        <v>58</v>
      </c>
      <c r="J111" s="16">
        <v>1500.0</v>
      </c>
      <c r="K111" s="17">
        <v>46062.0</v>
      </c>
      <c r="L111" s="17">
        <v>46064.0</v>
      </c>
      <c r="M111" s="8" t="s">
        <v>95</v>
      </c>
    </row>
    <row r="112" ht="15.75" customHeight="1">
      <c r="A112" s="12" t="s">
        <v>642</v>
      </c>
      <c r="B112" s="12" t="s">
        <v>373</v>
      </c>
      <c r="C112" s="13" t="s">
        <v>643</v>
      </c>
      <c r="D112" s="12" t="s">
        <v>644</v>
      </c>
      <c r="E112" s="12" t="s">
        <v>645</v>
      </c>
      <c r="F112" s="12" t="s">
        <v>151</v>
      </c>
      <c r="G112" s="12" t="s">
        <v>27</v>
      </c>
      <c r="H112" s="12" t="s">
        <v>217</v>
      </c>
      <c r="I112" s="12" t="s">
        <v>77</v>
      </c>
      <c r="J112" s="16">
        <v>750.0</v>
      </c>
      <c r="K112" s="17">
        <v>46082.0</v>
      </c>
      <c r="L112" s="17">
        <v>46092.0</v>
      </c>
      <c r="M112" s="8" t="s">
        <v>95</v>
      </c>
    </row>
    <row r="113" ht="15.75" customHeight="1">
      <c r="A113" s="12" t="s">
        <v>647</v>
      </c>
      <c r="B113" s="12" t="s">
        <v>648</v>
      </c>
      <c r="C113" s="13" t="s">
        <v>649</v>
      </c>
      <c r="D113" s="12" t="s">
        <v>651</v>
      </c>
      <c r="E113" s="12" t="s">
        <v>652</v>
      </c>
      <c r="F113" s="12" t="s">
        <v>26</v>
      </c>
      <c r="G113" s="12" t="s">
        <v>39</v>
      </c>
      <c r="H113" s="12" t="s">
        <v>49</v>
      </c>
      <c r="I113" s="12" t="s">
        <v>29</v>
      </c>
      <c r="J113" s="16">
        <v>900.0</v>
      </c>
      <c r="K113" s="17">
        <v>46143.0</v>
      </c>
      <c r="L113" s="17">
        <v>46160.0</v>
      </c>
      <c r="M113" s="8" t="s">
        <v>95</v>
      </c>
    </row>
    <row r="114" ht="15.75" customHeight="1">
      <c r="A114" s="12" t="s">
        <v>654</v>
      </c>
      <c r="B114" s="12" t="s">
        <v>655</v>
      </c>
      <c r="C114" s="13" t="s">
        <v>656</v>
      </c>
      <c r="D114" s="12" t="s">
        <v>657</v>
      </c>
      <c r="E114" s="12" t="s">
        <v>414</v>
      </c>
      <c r="F114" s="12" t="s">
        <v>489</v>
      </c>
      <c r="G114" s="12" t="s">
        <v>106</v>
      </c>
      <c r="H114" s="12" t="s">
        <v>49</v>
      </c>
      <c r="I114" s="12" t="s">
        <v>134</v>
      </c>
      <c r="J114" s="16">
        <v>4500.0</v>
      </c>
      <c r="K114" s="17">
        <v>46042.0</v>
      </c>
      <c r="L114" s="17">
        <v>46042.0</v>
      </c>
      <c r="M114" s="8" t="s">
        <v>66</v>
      </c>
    </row>
    <row r="115" ht="15.75" customHeight="1">
      <c r="A115" s="12" t="s">
        <v>659</v>
      </c>
      <c r="B115" s="12" t="s">
        <v>660</v>
      </c>
      <c r="C115" s="52" t="s">
        <v>661</v>
      </c>
      <c r="D115" s="12" t="s">
        <v>663</v>
      </c>
      <c r="E115" s="12" t="s">
        <v>332</v>
      </c>
      <c r="F115" s="12" t="s">
        <v>664</v>
      </c>
      <c r="G115" s="12" t="s">
        <v>106</v>
      </c>
      <c r="H115" s="12" t="s">
        <v>40</v>
      </c>
      <c r="I115" s="12" t="s">
        <v>50</v>
      </c>
      <c r="J115" s="16">
        <v>750.0</v>
      </c>
      <c r="K115" s="17">
        <v>46264.0</v>
      </c>
      <c r="L115" s="17"/>
      <c r="M115" s="8" t="s">
        <v>95</v>
      </c>
    </row>
    <row r="116" ht="15.75" customHeight="1">
      <c r="A116" s="12" t="s">
        <v>666</v>
      </c>
      <c r="B116" s="12" t="s">
        <v>667</v>
      </c>
      <c r="C116" s="13" t="s">
        <v>668</v>
      </c>
      <c r="D116" s="12" t="s">
        <v>670</v>
      </c>
      <c r="E116" s="12" t="s">
        <v>671</v>
      </c>
      <c r="F116" s="12" t="s">
        <v>489</v>
      </c>
      <c r="G116" s="12" t="s">
        <v>48</v>
      </c>
      <c r="H116" s="12" t="s">
        <v>28</v>
      </c>
      <c r="I116" s="12" t="s">
        <v>77</v>
      </c>
      <c r="J116" s="16">
        <v>2500.0</v>
      </c>
      <c r="K116" s="17">
        <v>46119.0</v>
      </c>
      <c r="L116" s="17">
        <v>46133.0</v>
      </c>
      <c r="M116" s="8" t="s">
        <v>41</v>
      </c>
    </row>
    <row r="117" ht="15.75" customHeight="1">
      <c r="A117" s="12" t="s">
        <v>672</v>
      </c>
      <c r="B117" s="12" t="s">
        <v>673</v>
      </c>
      <c r="C117" s="13" t="s">
        <v>674</v>
      </c>
      <c r="D117" s="12" t="s">
        <v>677</v>
      </c>
      <c r="E117" s="12" t="s">
        <v>414</v>
      </c>
      <c r="F117" s="12" t="s">
        <v>538</v>
      </c>
      <c r="G117" s="12" t="s">
        <v>57</v>
      </c>
      <c r="H117" s="12" t="s">
        <v>49</v>
      </c>
      <c r="I117" s="12" t="s">
        <v>77</v>
      </c>
      <c r="J117" s="16">
        <v>500.0</v>
      </c>
      <c r="K117" s="17">
        <v>46126.0</v>
      </c>
      <c r="L117" s="17">
        <v>46164.0</v>
      </c>
      <c r="M117" s="8" t="s">
        <v>95</v>
      </c>
    </row>
    <row r="118" ht="15.75" customHeight="1">
      <c r="A118" s="12" t="s">
        <v>679</v>
      </c>
      <c r="B118" s="12" t="s">
        <v>680</v>
      </c>
      <c r="C118" s="13" t="s">
        <v>681</v>
      </c>
      <c r="D118" s="12" t="s">
        <v>682</v>
      </c>
      <c r="E118" s="12" t="s">
        <v>683</v>
      </c>
      <c r="F118" s="12" t="s">
        <v>26</v>
      </c>
      <c r="G118" s="12" t="s">
        <v>27</v>
      </c>
      <c r="H118" s="12" t="s">
        <v>217</v>
      </c>
      <c r="I118" s="12" t="s">
        <v>134</v>
      </c>
      <c r="J118" s="16">
        <v>900.0</v>
      </c>
      <c r="K118" s="17">
        <v>46194.0</v>
      </c>
      <c r="L118" s="17">
        <v>46238.0</v>
      </c>
      <c r="M118" s="8" t="s">
        <v>107</v>
      </c>
    </row>
    <row r="119" ht="15.75" customHeight="1">
      <c r="A119" s="12" t="s">
        <v>684</v>
      </c>
      <c r="B119" s="12" t="s">
        <v>685</v>
      </c>
      <c r="C119" s="13" t="s">
        <v>686</v>
      </c>
      <c r="D119" s="12" t="s">
        <v>687</v>
      </c>
      <c r="E119" s="12" t="s">
        <v>55</v>
      </c>
      <c r="F119" s="12" t="s">
        <v>38</v>
      </c>
      <c r="G119" s="12" t="s">
        <v>48</v>
      </c>
      <c r="H119" s="12" t="s">
        <v>40</v>
      </c>
      <c r="I119" s="12" t="s">
        <v>58</v>
      </c>
      <c r="J119" s="16">
        <v>1500.0</v>
      </c>
      <c r="K119" s="17">
        <v>46205.0</v>
      </c>
      <c r="L119" s="17">
        <v>46235.0</v>
      </c>
    </row>
    <row r="120" ht="15.75" customHeight="1">
      <c r="A120" s="12" t="s">
        <v>688</v>
      </c>
      <c r="B120" s="12" t="s">
        <v>689</v>
      </c>
      <c r="C120" s="13" t="s">
        <v>690</v>
      </c>
      <c r="D120" s="12" t="s">
        <v>691</v>
      </c>
      <c r="E120" s="12" t="s">
        <v>692</v>
      </c>
      <c r="F120" s="12" t="s">
        <v>82</v>
      </c>
      <c r="G120" s="12" t="s">
        <v>133</v>
      </c>
      <c r="H120" s="12" t="s">
        <v>49</v>
      </c>
      <c r="I120" s="12" t="s">
        <v>77</v>
      </c>
      <c r="J120" s="16">
        <v>350.0</v>
      </c>
      <c r="K120" s="17">
        <v>46240.0</v>
      </c>
      <c r="L120" s="17">
        <v>46276.0</v>
      </c>
      <c r="M120" s="8" t="s">
        <v>107</v>
      </c>
    </row>
    <row r="121" ht="15.75" customHeight="1">
      <c r="A121" s="12" t="s">
        <v>693</v>
      </c>
      <c r="B121" s="12" t="s">
        <v>694</v>
      </c>
      <c r="C121" s="13" t="s">
        <v>695</v>
      </c>
      <c r="D121" s="12" t="s">
        <v>696</v>
      </c>
      <c r="E121" s="12"/>
      <c r="F121" s="12" t="s">
        <v>140</v>
      </c>
      <c r="G121" s="12" t="s">
        <v>57</v>
      </c>
      <c r="H121" s="12" t="s">
        <v>40</v>
      </c>
      <c r="I121" s="12" t="s">
        <v>77</v>
      </c>
      <c r="J121" s="16">
        <v>1500.0</v>
      </c>
      <c r="K121" s="17">
        <v>46065.0</v>
      </c>
      <c r="L121" s="17">
        <v>46080.0</v>
      </c>
      <c r="M121" s="8" t="s">
        <v>41</v>
      </c>
    </row>
    <row r="122" ht="15.75" customHeight="1">
      <c r="A122" s="12" t="s">
        <v>697</v>
      </c>
      <c r="B122" s="12" t="s">
        <v>698</v>
      </c>
      <c r="C122" s="13" t="s">
        <v>699</v>
      </c>
      <c r="D122" s="12" t="s">
        <v>700</v>
      </c>
      <c r="E122" s="12" t="s">
        <v>125</v>
      </c>
      <c r="F122" s="12" t="s">
        <v>75</v>
      </c>
      <c r="G122" s="12" t="s">
        <v>48</v>
      </c>
      <c r="H122" s="12" t="s">
        <v>28</v>
      </c>
      <c r="I122" s="12" t="s">
        <v>50</v>
      </c>
      <c r="J122" s="16">
        <v>1500.0</v>
      </c>
      <c r="K122" s="17">
        <v>46078.0</v>
      </c>
      <c r="L122" s="17">
        <v>46106.0</v>
      </c>
      <c r="M122" s="8" t="s">
        <v>41</v>
      </c>
    </row>
    <row r="123" ht="15.75" customHeight="1">
      <c r="A123" s="12" t="s">
        <v>701</v>
      </c>
      <c r="B123" s="12" t="s">
        <v>702</v>
      </c>
      <c r="C123" s="13" t="s">
        <v>703</v>
      </c>
      <c r="D123" s="12" t="s">
        <v>704</v>
      </c>
      <c r="E123" s="12" t="s">
        <v>200</v>
      </c>
      <c r="F123" s="12" t="s">
        <v>201</v>
      </c>
      <c r="G123" s="12" t="s">
        <v>133</v>
      </c>
      <c r="H123" s="12" t="s">
        <v>217</v>
      </c>
      <c r="I123" s="12" t="s">
        <v>134</v>
      </c>
      <c r="J123" s="16">
        <v>1200.0</v>
      </c>
      <c r="K123" s="17">
        <v>46202.0</v>
      </c>
      <c r="L123" s="17">
        <v>46228.0</v>
      </c>
    </row>
    <row r="124" ht="15.75" customHeight="1">
      <c r="A124" s="12" t="s">
        <v>705</v>
      </c>
      <c r="B124" s="12" t="s">
        <v>706</v>
      </c>
      <c r="C124" s="13" t="s">
        <v>707</v>
      </c>
      <c r="D124" s="12" t="s">
        <v>708</v>
      </c>
      <c r="E124" s="12" t="s">
        <v>709</v>
      </c>
      <c r="F124" s="12" t="s">
        <v>132</v>
      </c>
      <c r="G124" s="12" t="s">
        <v>106</v>
      </c>
      <c r="H124" s="12" t="s">
        <v>28</v>
      </c>
      <c r="I124" s="12" t="s">
        <v>58</v>
      </c>
      <c r="J124" s="16">
        <v>500.0</v>
      </c>
      <c r="K124" s="17">
        <v>46204.0</v>
      </c>
      <c r="L124" s="17">
        <v>46204.0</v>
      </c>
    </row>
    <row r="125" ht="15.75" customHeight="1">
      <c r="A125" s="12" t="s">
        <v>710</v>
      </c>
      <c r="B125" s="12" t="s">
        <v>711</v>
      </c>
      <c r="C125" s="52"/>
      <c r="D125" s="12" t="s">
        <v>712</v>
      </c>
      <c r="E125" s="12" t="s">
        <v>713</v>
      </c>
      <c r="F125" s="12" t="s">
        <v>582</v>
      </c>
      <c r="G125" s="12" t="s">
        <v>106</v>
      </c>
      <c r="H125" s="12" t="s">
        <v>76</v>
      </c>
      <c r="I125" s="12" t="s">
        <v>134</v>
      </c>
      <c r="J125" s="16">
        <v>900.0</v>
      </c>
      <c r="K125" s="17">
        <v>46187.0</v>
      </c>
      <c r="L125" s="17">
        <v>46216.0</v>
      </c>
      <c r="M125" s="8" t="s">
        <v>107</v>
      </c>
    </row>
    <row r="126" ht="15.75" customHeight="1">
      <c r="A126" s="12" t="s">
        <v>714</v>
      </c>
      <c r="B126" s="12" t="s">
        <v>471</v>
      </c>
      <c r="C126" s="13" t="s">
        <v>715</v>
      </c>
      <c r="D126" s="12" t="s">
        <v>716</v>
      </c>
      <c r="E126" s="12" t="s">
        <v>717</v>
      </c>
      <c r="F126" s="12" t="s">
        <v>216</v>
      </c>
      <c r="G126" s="12" t="s">
        <v>57</v>
      </c>
      <c r="H126" s="12" t="s">
        <v>217</v>
      </c>
      <c r="I126" s="12" t="s">
        <v>65</v>
      </c>
      <c r="J126" s="16">
        <v>2000.0</v>
      </c>
      <c r="K126" s="17">
        <v>46178.0</v>
      </c>
      <c r="L126" s="17">
        <v>46201.0</v>
      </c>
    </row>
    <row r="127" ht="15.75" customHeight="1">
      <c r="A127" s="12" t="s">
        <v>718</v>
      </c>
      <c r="B127" s="12" t="s">
        <v>559</v>
      </c>
      <c r="C127" s="13" t="s">
        <v>719</v>
      </c>
      <c r="D127" s="12" t="s">
        <v>720</v>
      </c>
      <c r="E127" s="12" t="s">
        <v>161</v>
      </c>
      <c r="F127" s="12" t="s">
        <v>538</v>
      </c>
      <c r="G127" s="12" t="s">
        <v>133</v>
      </c>
      <c r="H127" s="12" t="s">
        <v>76</v>
      </c>
      <c r="I127" s="12" t="s">
        <v>29</v>
      </c>
      <c r="J127" s="16">
        <v>2500.0</v>
      </c>
      <c r="K127" s="17">
        <v>46071.0</v>
      </c>
      <c r="L127" s="17">
        <v>46103.0</v>
      </c>
      <c r="M127" s="8" t="s">
        <v>66</v>
      </c>
    </row>
    <row r="128" ht="15.75" customHeight="1">
      <c r="A128" s="12" t="s">
        <v>721</v>
      </c>
      <c r="B128" s="12" t="s">
        <v>722</v>
      </c>
      <c r="C128" s="13" t="s">
        <v>723</v>
      </c>
      <c r="D128" s="12" t="s">
        <v>724</v>
      </c>
      <c r="E128" s="12" t="s">
        <v>293</v>
      </c>
      <c r="F128" s="12" t="s">
        <v>38</v>
      </c>
      <c r="G128" s="12" t="s">
        <v>27</v>
      </c>
      <c r="H128" s="12" t="s">
        <v>76</v>
      </c>
      <c r="I128" s="12" t="s">
        <v>58</v>
      </c>
      <c r="J128" s="16">
        <v>4500.0</v>
      </c>
      <c r="K128" s="17">
        <v>46137.0</v>
      </c>
      <c r="L128" s="17">
        <v>46154.0</v>
      </c>
      <c r="M128" s="8" t="s">
        <v>41</v>
      </c>
    </row>
    <row r="129" ht="15.75" customHeight="1">
      <c r="A129" s="12" t="s">
        <v>725</v>
      </c>
      <c r="B129" s="12" t="s">
        <v>726</v>
      </c>
      <c r="C129" s="13" t="s">
        <v>727</v>
      </c>
      <c r="D129" s="12" t="s">
        <v>728</v>
      </c>
      <c r="E129" s="12" t="s">
        <v>419</v>
      </c>
      <c r="F129" s="12" t="s">
        <v>56</v>
      </c>
      <c r="G129" s="12" t="s">
        <v>57</v>
      </c>
      <c r="H129" s="12" t="s">
        <v>40</v>
      </c>
      <c r="I129" s="12" t="s">
        <v>50</v>
      </c>
      <c r="J129" s="16">
        <v>350.0</v>
      </c>
      <c r="K129" s="17">
        <v>46230.0</v>
      </c>
      <c r="L129" s="17"/>
      <c r="M129" s="8" t="s">
        <v>107</v>
      </c>
    </row>
    <row r="130" ht="15.75" customHeight="1">
      <c r="A130" s="12" t="s">
        <v>729</v>
      </c>
      <c r="B130" s="12" t="s">
        <v>730</v>
      </c>
      <c r="C130" s="13" t="s">
        <v>731</v>
      </c>
      <c r="D130" s="12" t="s">
        <v>732</v>
      </c>
      <c r="E130" s="12" t="s">
        <v>332</v>
      </c>
      <c r="F130" s="12" t="s">
        <v>283</v>
      </c>
      <c r="G130" s="12" t="s">
        <v>57</v>
      </c>
      <c r="H130" s="12" t="s">
        <v>49</v>
      </c>
      <c r="I130" s="12" t="s">
        <v>134</v>
      </c>
      <c r="J130" s="16">
        <v>750.0</v>
      </c>
      <c r="K130" s="17">
        <v>46139.0</v>
      </c>
      <c r="L130" s="17">
        <v>46161.0</v>
      </c>
      <c r="M130" s="8" t="s">
        <v>30</v>
      </c>
    </row>
    <row r="131" ht="15.75" customHeight="1">
      <c r="A131" s="12" t="s">
        <v>733</v>
      </c>
      <c r="B131" s="12" t="s">
        <v>279</v>
      </c>
      <c r="C131" s="13" t="s">
        <v>734</v>
      </c>
      <c r="D131" s="12" t="s">
        <v>735</v>
      </c>
      <c r="E131" s="12" t="s">
        <v>100</v>
      </c>
      <c r="F131" s="12" t="s">
        <v>38</v>
      </c>
      <c r="G131" s="12" t="s">
        <v>39</v>
      </c>
      <c r="H131" s="12" t="s">
        <v>76</v>
      </c>
      <c r="I131" s="12" t="s">
        <v>29</v>
      </c>
      <c r="J131" s="16">
        <v>750.0</v>
      </c>
      <c r="K131" s="17">
        <v>46058.0</v>
      </c>
      <c r="L131" s="17">
        <v>46091.0</v>
      </c>
    </row>
    <row r="132" ht="15.75" customHeight="1">
      <c r="A132" s="12" t="s">
        <v>736</v>
      </c>
      <c r="B132" s="12" t="s">
        <v>737</v>
      </c>
      <c r="C132" s="13" t="s">
        <v>738</v>
      </c>
      <c r="D132" s="12" t="s">
        <v>739</v>
      </c>
      <c r="E132" s="12" t="s">
        <v>740</v>
      </c>
      <c r="F132" s="12" t="s">
        <v>546</v>
      </c>
      <c r="G132" s="12" t="s">
        <v>106</v>
      </c>
      <c r="H132" s="12" t="s">
        <v>40</v>
      </c>
      <c r="I132" s="12" t="s">
        <v>58</v>
      </c>
      <c r="J132" s="16">
        <v>1200.0</v>
      </c>
      <c r="K132" s="17">
        <v>46218.0</v>
      </c>
      <c r="L132" s="17">
        <v>46221.0</v>
      </c>
      <c r="M132" s="8" t="s">
        <v>95</v>
      </c>
    </row>
    <row r="133" ht="15.75" customHeight="1">
      <c r="A133" s="12" t="s">
        <v>741</v>
      </c>
      <c r="B133" s="12" t="s">
        <v>742</v>
      </c>
      <c r="C133" s="13" t="s">
        <v>743</v>
      </c>
      <c r="D133" s="12" t="s">
        <v>744</v>
      </c>
      <c r="E133" s="12" t="s">
        <v>745</v>
      </c>
      <c r="F133" s="12" t="s">
        <v>26</v>
      </c>
      <c r="G133" s="12" t="s">
        <v>106</v>
      </c>
      <c r="H133" s="12" t="s">
        <v>49</v>
      </c>
      <c r="I133" s="12" t="s">
        <v>65</v>
      </c>
      <c r="J133" s="16">
        <v>3000.0</v>
      </c>
      <c r="K133" s="17">
        <v>46152.0</v>
      </c>
      <c r="L133" s="17">
        <v>46195.0</v>
      </c>
      <c r="M133" s="8" t="s">
        <v>66</v>
      </c>
    </row>
    <row r="134" ht="15.75" customHeight="1">
      <c r="A134" s="12" t="s">
        <v>746</v>
      </c>
      <c r="B134" s="12" t="s">
        <v>747</v>
      </c>
      <c r="C134" s="13" t="s">
        <v>748</v>
      </c>
      <c r="D134" s="12" t="s">
        <v>750</v>
      </c>
      <c r="E134" s="12" t="s">
        <v>751</v>
      </c>
      <c r="F134" s="12" t="s">
        <v>126</v>
      </c>
      <c r="G134" s="12" t="s">
        <v>27</v>
      </c>
      <c r="H134" s="12" t="s">
        <v>49</v>
      </c>
      <c r="I134" s="12" t="s">
        <v>65</v>
      </c>
      <c r="J134" s="16">
        <v>2000.0</v>
      </c>
      <c r="K134" s="17">
        <v>46144.0</v>
      </c>
      <c r="L134" s="17">
        <v>46155.0</v>
      </c>
      <c r="M134" s="8" t="s">
        <v>95</v>
      </c>
    </row>
    <row r="135" ht="15.75" customHeight="1">
      <c r="A135" s="12" t="s">
        <v>752</v>
      </c>
      <c r="B135" s="12" t="s">
        <v>753</v>
      </c>
      <c r="C135" s="13" t="s">
        <v>754</v>
      </c>
      <c r="D135" s="12" t="s">
        <v>755</v>
      </c>
      <c r="E135" s="12" t="s">
        <v>483</v>
      </c>
      <c r="F135" s="12" t="s">
        <v>211</v>
      </c>
      <c r="G135" s="12" t="s">
        <v>57</v>
      </c>
      <c r="H135" s="12" t="s">
        <v>217</v>
      </c>
      <c r="I135" s="12" t="s">
        <v>134</v>
      </c>
      <c r="J135" s="16">
        <v>1500.0</v>
      </c>
      <c r="K135" s="17">
        <v>46102.0</v>
      </c>
      <c r="L135" s="17">
        <v>46117.0</v>
      </c>
      <c r="M135" s="8" t="s">
        <v>30</v>
      </c>
    </row>
    <row r="136" ht="15.75" customHeight="1">
      <c r="A136" s="12" t="s">
        <v>756</v>
      </c>
      <c r="B136" s="12" t="s">
        <v>234</v>
      </c>
      <c r="C136" s="13" t="s">
        <v>757</v>
      </c>
      <c r="D136" s="12" t="s">
        <v>759</v>
      </c>
      <c r="E136" s="12" t="s">
        <v>760</v>
      </c>
      <c r="F136" s="12" t="s">
        <v>174</v>
      </c>
      <c r="G136" s="12" t="s">
        <v>106</v>
      </c>
      <c r="H136" s="12" t="s">
        <v>40</v>
      </c>
      <c r="I136" s="12" t="s">
        <v>29</v>
      </c>
      <c r="J136" s="16"/>
      <c r="K136" s="17">
        <v>46156.0</v>
      </c>
      <c r="L136" s="17">
        <v>46174.0</v>
      </c>
      <c r="M136" s="8" t="s">
        <v>95</v>
      </c>
    </row>
    <row r="137" ht="15.75" customHeight="1">
      <c r="A137" s="12" t="s">
        <v>764</v>
      </c>
      <c r="B137" s="12" t="s">
        <v>300</v>
      </c>
      <c r="C137" s="13" t="s">
        <v>765</v>
      </c>
      <c r="D137" s="12" t="s">
        <v>768</v>
      </c>
      <c r="E137" s="12" t="s">
        <v>769</v>
      </c>
      <c r="F137" s="12" t="s">
        <v>174</v>
      </c>
      <c r="G137" s="12" t="s">
        <v>133</v>
      </c>
      <c r="H137" s="12" t="s">
        <v>49</v>
      </c>
      <c r="I137" s="12" t="s">
        <v>77</v>
      </c>
      <c r="J137" s="16">
        <v>350.0</v>
      </c>
      <c r="K137" s="17">
        <v>46156.0</v>
      </c>
      <c r="L137" s="17">
        <v>46159.0</v>
      </c>
      <c r="M137" s="8" t="s">
        <v>30</v>
      </c>
    </row>
    <row r="138" ht="15.75" customHeight="1">
      <c r="A138" s="12" t="s">
        <v>772</v>
      </c>
      <c r="B138" s="12" t="s">
        <v>773</v>
      </c>
      <c r="C138" s="13" t="s">
        <v>774</v>
      </c>
      <c r="D138" s="12" t="s">
        <v>778</v>
      </c>
      <c r="E138" s="12" t="s">
        <v>779</v>
      </c>
      <c r="F138" s="12" t="s">
        <v>82</v>
      </c>
      <c r="G138" s="12" t="s">
        <v>48</v>
      </c>
      <c r="H138" s="12" t="s">
        <v>49</v>
      </c>
      <c r="I138" s="12" t="s">
        <v>134</v>
      </c>
      <c r="J138" s="16">
        <v>4500.0</v>
      </c>
      <c r="K138" s="17">
        <v>46155.0</v>
      </c>
      <c r="L138" s="17">
        <v>46197.0</v>
      </c>
      <c r="M138" s="8" t="s">
        <v>66</v>
      </c>
    </row>
    <row r="139" ht="15.75" customHeight="1">
      <c r="A139" s="12" t="s">
        <v>780</v>
      </c>
      <c r="B139" s="12" t="s">
        <v>781</v>
      </c>
      <c r="C139" s="13" t="s">
        <v>782</v>
      </c>
      <c r="D139" s="12" t="s">
        <v>783</v>
      </c>
      <c r="E139" s="12" t="s">
        <v>184</v>
      </c>
      <c r="F139" s="12" t="s">
        <v>489</v>
      </c>
      <c r="G139" s="12" t="s">
        <v>57</v>
      </c>
      <c r="H139" s="12" t="s">
        <v>76</v>
      </c>
      <c r="I139" s="12" t="s">
        <v>77</v>
      </c>
      <c r="J139" s="16">
        <v>500.0</v>
      </c>
      <c r="K139" s="17">
        <v>46249.0</v>
      </c>
      <c r="L139" s="17">
        <v>46259.0</v>
      </c>
    </row>
    <row r="140" ht="15.75" customHeight="1">
      <c r="A140" s="12" t="s">
        <v>784</v>
      </c>
      <c r="B140" s="12" t="s">
        <v>785</v>
      </c>
      <c r="C140" s="52"/>
      <c r="D140" s="12" t="s">
        <v>786</v>
      </c>
      <c r="E140" s="12" t="s">
        <v>562</v>
      </c>
      <c r="F140" s="12" t="s">
        <v>205</v>
      </c>
      <c r="G140" s="12" t="s">
        <v>106</v>
      </c>
      <c r="H140" s="12" t="s">
        <v>40</v>
      </c>
      <c r="I140" s="12" t="s">
        <v>50</v>
      </c>
      <c r="J140" s="16">
        <v>1200.0</v>
      </c>
      <c r="K140" s="17">
        <v>46226.0</v>
      </c>
      <c r="L140" s="17">
        <v>46259.0</v>
      </c>
      <c r="M140" s="8" t="s">
        <v>107</v>
      </c>
    </row>
    <row r="141" ht="15.75" customHeight="1">
      <c r="A141" s="12" t="s">
        <v>787</v>
      </c>
      <c r="B141" s="12" t="s">
        <v>219</v>
      </c>
      <c r="C141" s="13" t="s">
        <v>788</v>
      </c>
      <c r="D141" s="12" t="s">
        <v>789</v>
      </c>
      <c r="E141" s="12" t="s">
        <v>462</v>
      </c>
      <c r="F141" s="12" t="s">
        <v>140</v>
      </c>
      <c r="G141" s="12" t="s">
        <v>57</v>
      </c>
      <c r="H141" s="12" t="s">
        <v>49</v>
      </c>
      <c r="I141" s="12" t="s">
        <v>58</v>
      </c>
      <c r="J141" s="16"/>
      <c r="K141" s="17">
        <v>46208.0</v>
      </c>
      <c r="L141" s="17">
        <v>46245.0</v>
      </c>
      <c r="M141" s="8" t="s">
        <v>30</v>
      </c>
    </row>
    <row r="142" ht="15.75" customHeight="1">
      <c r="A142" s="12" t="s">
        <v>790</v>
      </c>
      <c r="B142" s="12" t="s">
        <v>791</v>
      </c>
      <c r="C142" s="13" t="s">
        <v>792</v>
      </c>
      <c r="D142" s="12" t="s">
        <v>793</v>
      </c>
      <c r="E142" s="12" t="s">
        <v>228</v>
      </c>
      <c r="F142" s="12" t="s">
        <v>216</v>
      </c>
      <c r="G142" s="12" t="s">
        <v>133</v>
      </c>
      <c r="H142" s="12" t="s">
        <v>40</v>
      </c>
      <c r="I142" s="12" t="s">
        <v>65</v>
      </c>
      <c r="J142" s="16"/>
      <c r="K142" s="17">
        <v>46226.0</v>
      </c>
      <c r="L142" s="17">
        <v>46238.0</v>
      </c>
      <c r="M142" s="8" t="s">
        <v>30</v>
      </c>
    </row>
    <row r="143" ht="15.75" customHeight="1">
      <c r="A143" s="12" t="s">
        <v>794</v>
      </c>
      <c r="B143" s="12" t="s">
        <v>795</v>
      </c>
      <c r="C143" s="13" t="s">
        <v>796</v>
      </c>
      <c r="D143" s="12" t="s">
        <v>797</v>
      </c>
      <c r="E143" s="12" t="s">
        <v>332</v>
      </c>
      <c r="F143" s="12" t="s">
        <v>132</v>
      </c>
      <c r="G143" s="12" t="s">
        <v>57</v>
      </c>
      <c r="H143" s="12" t="s">
        <v>217</v>
      </c>
      <c r="I143" s="12" t="s">
        <v>65</v>
      </c>
      <c r="J143" s="16">
        <v>750.0</v>
      </c>
      <c r="K143" s="17">
        <v>46198.0</v>
      </c>
      <c r="L143" s="17">
        <v>46236.0</v>
      </c>
      <c r="M143" s="8" t="s">
        <v>41</v>
      </c>
    </row>
    <row r="144" ht="15.75" customHeight="1">
      <c r="A144" s="12" t="s">
        <v>798</v>
      </c>
      <c r="B144" s="12" t="s">
        <v>799</v>
      </c>
      <c r="C144" s="13" t="s">
        <v>800</v>
      </c>
      <c r="D144" s="12" t="s">
        <v>801</v>
      </c>
      <c r="E144" s="12" t="s">
        <v>145</v>
      </c>
      <c r="F144" s="12" t="s">
        <v>88</v>
      </c>
      <c r="G144" s="12" t="s">
        <v>27</v>
      </c>
      <c r="H144" s="12" t="s">
        <v>49</v>
      </c>
      <c r="I144" s="12" t="s">
        <v>304</v>
      </c>
      <c r="J144" s="16">
        <v>4500.0</v>
      </c>
      <c r="K144" s="17">
        <v>46085.0</v>
      </c>
      <c r="L144" s="17">
        <v>46111.0</v>
      </c>
      <c r="M144" s="8" t="s">
        <v>66</v>
      </c>
    </row>
    <row r="145" ht="15.75" customHeight="1">
      <c r="A145" s="12" t="s">
        <v>802</v>
      </c>
      <c r="B145" s="12" t="s">
        <v>803</v>
      </c>
      <c r="C145" s="13" t="s">
        <v>804</v>
      </c>
      <c r="D145" s="12" t="s">
        <v>805</v>
      </c>
      <c r="E145" s="12" t="s">
        <v>112</v>
      </c>
      <c r="F145" s="12" t="s">
        <v>538</v>
      </c>
      <c r="G145" s="12" t="s">
        <v>133</v>
      </c>
      <c r="H145" s="12" t="s">
        <v>76</v>
      </c>
      <c r="I145" s="12" t="s">
        <v>65</v>
      </c>
      <c r="J145" s="16">
        <v>350.0</v>
      </c>
      <c r="K145" s="17">
        <v>46089.0</v>
      </c>
      <c r="L145" s="17">
        <v>46098.0</v>
      </c>
      <c r="M145" s="8" t="s">
        <v>41</v>
      </c>
    </row>
    <row r="146" ht="15.75" customHeight="1">
      <c r="A146" s="12" t="s">
        <v>806</v>
      </c>
      <c r="B146" s="12" t="s">
        <v>807</v>
      </c>
      <c r="C146" s="52" t="s">
        <v>808</v>
      </c>
      <c r="D146" s="12" t="s">
        <v>809</v>
      </c>
      <c r="E146" s="12" t="s">
        <v>215</v>
      </c>
      <c r="F146" s="12" t="s">
        <v>88</v>
      </c>
      <c r="G146" s="12" t="s">
        <v>133</v>
      </c>
      <c r="H146" s="12" t="s">
        <v>49</v>
      </c>
      <c r="I146" s="12"/>
      <c r="J146" s="16">
        <v>2500.0</v>
      </c>
      <c r="K146" s="17">
        <v>46228.0</v>
      </c>
      <c r="L146" s="17">
        <v>46239.0</v>
      </c>
      <c r="M146" s="8" t="s">
        <v>41</v>
      </c>
    </row>
    <row r="147" ht="15.75" customHeight="1">
      <c r="A147" s="12" t="s">
        <v>810</v>
      </c>
      <c r="B147" s="12" t="s">
        <v>811</v>
      </c>
      <c r="C147" s="52"/>
      <c r="D147" s="12" t="s">
        <v>812</v>
      </c>
      <c r="E147" s="12" t="s">
        <v>173</v>
      </c>
      <c r="F147" s="12" t="s">
        <v>664</v>
      </c>
      <c r="G147" s="12" t="s">
        <v>27</v>
      </c>
      <c r="H147" s="12" t="s">
        <v>49</v>
      </c>
      <c r="I147" s="12" t="s">
        <v>50</v>
      </c>
      <c r="J147" s="16">
        <v>2000.0</v>
      </c>
      <c r="K147" s="17">
        <v>46227.0</v>
      </c>
      <c r="L147" s="17">
        <v>46240.0</v>
      </c>
      <c r="M147" s="8" t="s">
        <v>30</v>
      </c>
    </row>
    <row r="148" ht="15.75" customHeight="1">
      <c r="A148" s="12" t="s">
        <v>813</v>
      </c>
      <c r="B148" s="12" t="s">
        <v>667</v>
      </c>
      <c r="C148" s="13" t="s">
        <v>814</v>
      </c>
      <c r="D148" s="12" t="s">
        <v>815</v>
      </c>
      <c r="E148" s="12" t="s">
        <v>816</v>
      </c>
      <c r="F148" s="12" t="s">
        <v>132</v>
      </c>
      <c r="G148" s="12" t="s">
        <v>57</v>
      </c>
      <c r="H148" s="12" t="s">
        <v>28</v>
      </c>
      <c r="I148" s="12" t="s">
        <v>65</v>
      </c>
      <c r="J148" s="16">
        <v>4500.0</v>
      </c>
      <c r="K148" s="17">
        <v>46116.0</v>
      </c>
      <c r="L148" s="17">
        <v>46135.0</v>
      </c>
      <c r="M148" s="8" t="s">
        <v>66</v>
      </c>
    </row>
    <row r="149" ht="15.75" customHeight="1">
      <c r="A149" s="12" t="s">
        <v>817</v>
      </c>
      <c r="B149" s="12" t="s">
        <v>818</v>
      </c>
      <c r="C149" s="13" t="s">
        <v>819</v>
      </c>
      <c r="D149" s="12" t="s">
        <v>820</v>
      </c>
      <c r="E149" s="12" t="s">
        <v>173</v>
      </c>
      <c r="F149" s="12" t="s">
        <v>151</v>
      </c>
      <c r="G149" s="12" t="s">
        <v>27</v>
      </c>
      <c r="H149" s="12" t="s">
        <v>28</v>
      </c>
      <c r="I149" s="12" t="s">
        <v>77</v>
      </c>
      <c r="J149" s="16">
        <v>2500.0</v>
      </c>
      <c r="K149" s="17">
        <v>46046.0</v>
      </c>
      <c r="L149" s="17">
        <v>46051.0</v>
      </c>
      <c r="M149" s="8" t="s">
        <v>41</v>
      </c>
    </row>
    <row r="150" ht="15.75" customHeight="1">
      <c r="A150" s="12" t="s">
        <v>821</v>
      </c>
      <c r="B150" s="12" t="s">
        <v>822</v>
      </c>
      <c r="C150" s="13" t="s">
        <v>823</v>
      </c>
      <c r="D150" s="12" t="s">
        <v>824</v>
      </c>
      <c r="E150" s="12" t="s">
        <v>509</v>
      </c>
      <c r="F150" s="12" t="s">
        <v>175</v>
      </c>
      <c r="G150" s="12" t="s">
        <v>27</v>
      </c>
      <c r="H150" s="12" t="s">
        <v>217</v>
      </c>
      <c r="I150" s="12" t="s">
        <v>134</v>
      </c>
      <c r="J150" s="16">
        <v>900.0</v>
      </c>
      <c r="K150" s="17">
        <v>46123.0</v>
      </c>
      <c r="L150" s="17">
        <v>46126.0</v>
      </c>
      <c r="M150" s="8" t="s">
        <v>41</v>
      </c>
    </row>
    <row r="151" ht="15.75" customHeight="1">
      <c r="A151" s="12" t="s">
        <v>825</v>
      </c>
      <c r="B151" s="12" t="s">
        <v>441</v>
      </c>
      <c r="C151" s="13" t="s">
        <v>826</v>
      </c>
      <c r="D151" s="12" t="s">
        <v>827</v>
      </c>
      <c r="E151" s="12"/>
      <c r="F151" s="12" t="s">
        <v>126</v>
      </c>
      <c r="G151" s="12" t="s">
        <v>39</v>
      </c>
      <c r="H151" s="12" t="s">
        <v>28</v>
      </c>
      <c r="I151" s="12" t="s">
        <v>65</v>
      </c>
      <c r="J151" s="16">
        <v>350.0</v>
      </c>
      <c r="K151" s="17">
        <v>46212.0</v>
      </c>
      <c r="L151" s="17">
        <v>46252.0</v>
      </c>
      <c r="M151" s="8" t="s">
        <v>95</v>
      </c>
    </row>
    <row r="152" ht="15.75" customHeight="1">
      <c r="A152" s="12" t="s">
        <v>828</v>
      </c>
      <c r="B152" s="12" t="s">
        <v>829</v>
      </c>
      <c r="C152" s="13" t="s">
        <v>830</v>
      </c>
      <c r="D152" s="12" t="s">
        <v>831</v>
      </c>
      <c r="E152" s="12" t="s">
        <v>832</v>
      </c>
      <c r="F152" s="12" t="s">
        <v>168</v>
      </c>
      <c r="G152" s="12" t="s">
        <v>106</v>
      </c>
      <c r="H152" s="12" t="s">
        <v>76</v>
      </c>
      <c r="I152" s="12" t="s">
        <v>304</v>
      </c>
      <c r="J152" s="16">
        <v>500.0</v>
      </c>
      <c r="K152" s="17">
        <v>46028.0</v>
      </c>
      <c r="L152" s="17">
        <v>46040.0</v>
      </c>
      <c r="M152" s="8" t="s">
        <v>107</v>
      </c>
    </row>
    <row r="153" ht="15.75" customHeight="1">
      <c r="A153" s="12" t="s">
        <v>833</v>
      </c>
      <c r="B153" s="12" t="s">
        <v>834</v>
      </c>
      <c r="C153" s="13" t="s">
        <v>835</v>
      </c>
      <c r="D153" s="12" t="s">
        <v>836</v>
      </c>
      <c r="E153" s="12" t="s">
        <v>190</v>
      </c>
      <c r="F153" s="12" t="s">
        <v>283</v>
      </c>
      <c r="G153" s="12" t="s">
        <v>106</v>
      </c>
      <c r="H153" s="12" t="s">
        <v>217</v>
      </c>
      <c r="I153" s="12" t="s">
        <v>77</v>
      </c>
      <c r="J153" s="16">
        <v>1500.0</v>
      </c>
      <c r="K153" s="17">
        <v>46104.0</v>
      </c>
      <c r="L153" s="17">
        <v>46135.0</v>
      </c>
      <c r="M153" s="8" t="s">
        <v>95</v>
      </c>
    </row>
    <row r="154" ht="15.75" customHeight="1">
      <c r="A154" s="12" t="s">
        <v>837</v>
      </c>
      <c r="B154" s="12" t="s">
        <v>737</v>
      </c>
      <c r="C154" s="13" t="s">
        <v>838</v>
      </c>
      <c r="D154" s="12" t="s">
        <v>839</v>
      </c>
      <c r="E154" s="12" t="s">
        <v>840</v>
      </c>
      <c r="F154" s="12" t="s">
        <v>175</v>
      </c>
      <c r="G154" s="12" t="s">
        <v>106</v>
      </c>
      <c r="H154" s="12" t="s">
        <v>217</v>
      </c>
      <c r="I154" s="12" t="s">
        <v>58</v>
      </c>
      <c r="J154" s="16">
        <v>500.0</v>
      </c>
      <c r="K154" s="17">
        <v>46034.0</v>
      </c>
      <c r="L154" s="17">
        <v>46042.0</v>
      </c>
      <c r="M154" s="8" t="s">
        <v>66</v>
      </c>
    </row>
    <row r="155" ht="15.75" customHeight="1">
      <c r="A155" s="12" t="s">
        <v>841</v>
      </c>
      <c r="B155" s="12" t="s">
        <v>842</v>
      </c>
      <c r="C155" s="13" t="s">
        <v>843</v>
      </c>
      <c r="D155" s="12" t="s">
        <v>844</v>
      </c>
      <c r="E155" s="12" t="s">
        <v>259</v>
      </c>
      <c r="F155" s="12" t="s">
        <v>174</v>
      </c>
      <c r="G155" s="12" t="s">
        <v>106</v>
      </c>
      <c r="H155" s="12" t="s">
        <v>40</v>
      </c>
      <c r="I155" s="12" t="s">
        <v>50</v>
      </c>
      <c r="J155" s="16">
        <v>1500.0</v>
      </c>
      <c r="K155" s="17">
        <v>46068.0</v>
      </c>
      <c r="L155" s="17">
        <v>46087.0</v>
      </c>
    </row>
    <row r="156" ht="15.75" customHeight="1">
      <c r="A156" s="12" t="s">
        <v>845</v>
      </c>
      <c r="B156" s="12" t="s">
        <v>846</v>
      </c>
      <c r="C156" s="13" t="s">
        <v>847</v>
      </c>
      <c r="D156" s="12" t="s">
        <v>848</v>
      </c>
      <c r="E156" s="12" t="s">
        <v>25</v>
      </c>
      <c r="F156" s="12" t="s">
        <v>82</v>
      </c>
      <c r="G156" s="12" t="s">
        <v>133</v>
      </c>
      <c r="H156" s="12" t="s">
        <v>49</v>
      </c>
      <c r="I156" s="12" t="s">
        <v>77</v>
      </c>
      <c r="J156" s="16">
        <v>750.0</v>
      </c>
      <c r="K156" s="17">
        <v>46137.0</v>
      </c>
      <c r="L156" s="17">
        <v>46153.0</v>
      </c>
      <c r="M156" s="8" t="s">
        <v>107</v>
      </c>
    </row>
    <row r="157" ht="15.75" customHeight="1">
      <c r="A157" s="12" t="s">
        <v>849</v>
      </c>
      <c r="B157" s="12" t="s">
        <v>517</v>
      </c>
      <c r="C157" s="13" t="s">
        <v>850</v>
      </c>
      <c r="D157" s="12" t="s">
        <v>851</v>
      </c>
      <c r="E157" s="12" t="s">
        <v>852</v>
      </c>
      <c r="F157" s="12" t="s">
        <v>168</v>
      </c>
      <c r="G157" s="12" t="s">
        <v>27</v>
      </c>
      <c r="H157" s="12" t="s">
        <v>28</v>
      </c>
      <c r="I157" s="12" t="s">
        <v>134</v>
      </c>
      <c r="J157" s="16">
        <v>2500.0</v>
      </c>
      <c r="K157" s="17">
        <v>46189.0</v>
      </c>
      <c r="L157" s="17">
        <v>46223.0</v>
      </c>
      <c r="M157" s="8" t="s">
        <v>95</v>
      </c>
    </row>
    <row r="158" ht="15.75" customHeight="1">
      <c r="A158" s="12" t="s">
        <v>853</v>
      </c>
      <c r="B158" s="12" t="s">
        <v>854</v>
      </c>
      <c r="C158" s="13" t="s">
        <v>855</v>
      </c>
      <c r="D158" s="12" t="s">
        <v>856</v>
      </c>
      <c r="E158" s="12" t="s">
        <v>857</v>
      </c>
      <c r="F158" s="12" t="s">
        <v>132</v>
      </c>
      <c r="G158" s="12" t="s">
        <v>39</v>
      </c>
      <c r="H158" s="12" t="s">
        <v>28</v>
      </c>
      <c r="I158" s="12" t="s">
        <v>134</v>
      </c>
      <c r="J158" s="16">
        <v>900.0</v>
      </c>
      <c r="K158" s="17">
        <v>46040.0</v>
      </c>
      <c r="L158" s="17">
        <v>46078.0</v>
      </c>
      <c r="M158" s="8" t="s">
        <v>30</v>
      </c>
    </row>
    <row r="159" ht="15.75" customHeight="1">
      <c r="A159" s="12" t="s">
        <v>858</v>
      </c>
      <c r="B159" s="12" t="s">
        <v>859</v>
      </c>
      <c r="C159" s="13" t="s">
        <v>860</v>
      </c>
      <c r="D159" s="12" t="s">
        <v>861</v>
      </c>
      <c r="E159" s="12" t="s">
        <v>131</v>
      </c>
      <c r="F159" s="12" t="s">
        <v>174</v>
      </c>
      <c r="G159" s="12" t="s">
        <v>106</v>
      </c>
      <c r="H159" s="12" t="s">
        <v>49</v>
      </c>
      <c r="I159" s="12" t="s">
        <v>58</v>
      </c>
      <c r="J159" s="16">
        <v>4500.0</v>
      </c>
      <c r="K159" s="17">
        <v>46260.0</v>
      </c>
      <c r="L159" s="17">
        <v>46272.0</v>
      </c>
      <c r="M159" s="8" t="s">
        <v>30</v>
      </c>
    </row>
    <row r="160" ht="15.75" customHeight="1">
      <c r="A160" s="12" t="s">
        <v>862</v>
      </c>
      <c r="B160" s="12" t="s">
        <v>863</v>
      </c>
      <c r="C160" s="13" t="s">
        <v>864</v>
      </c>
      <c r="D160" s="12"/>
      <c r="E160" s="12" t="s">
        <v>865</v>
      </c>
      <c r="F160" s="12" t="s">
        <v>168</v>
      </c>
      <c r="G160" s="12" t="s">
        <v>106</v>
      </c>
      <c r="H160" s="12" t="s">
        <v>49</v>
      </c>
      <c r="I160" s="12" t="s">
        <v>134</v>
      </c>
      <c r="J160" s="16"/>
      <c r="K160" s="17">
        <v>46173.0</v>
      </c>
      <c r="L160" s="17">
        <v>46215.0</v>
      </c>
      <c r="M160" s="8" t="s">
        <v>30</v>
      </c>
    </row>
    <row r="161" ht="15.75" customHeight="1">
      <c r="A161" s="12" t="s">
        <v>866</v>
      </c>
      <c r="B161" s="12" t="s">
        <v>867</v>
      </c>
      <c r="C161" s="13" t="s">
        <v>868</v>
      </c>
      <c r="D161" s="12" t="s">
        <v>869</v>
      </c>
      <c r="E161" s="12" t="s">
        <v>852</v>
      </c>
      <c r="F161" s="12" t="s">
        <v>220</v>
      </c>
      <c r="G161" s="12" t="s">
        <v>27</v>
      </c>
      <c r="H161" s="12" t="s">
        <v>217</v>
      </c>
      <c r="I161" s="12" t="s">
        <v>58</v>
      </c>
      <c r="J161" s="16">
        <v>2000.0</v>
      </c>
      <c r="K161" s="17">
        <v>46114.0</v>
      </c>
      <c r="L161" s="17">
        <v>46148.0</v>
      </c>
    </row>
    <row r="162" ht="15.75" customHeight="1">
      <c r="A162" s="12" t="s">
        <v>870</v>
      </c>
      <c r="B162" s="12" t="s">
        <v>871</v>
      </c>
      <c r="C162" s="13" t="s">
        <v>872</v>
      </c>
      <c r="D162" s="12" t="s">
        <v>873</v>
      </c>
      <c r="E162" s="12" t="s">
        <v>419</v>
      </c>
      <c r="F162" s="12" t="s">
        <v>64</v>
      </c>
      <c r="G162" s="12" t="s">
        <v>48</v>
      </c>
      <c r="H162" s="12" t="s">
        <v>217</v>
      </c>
      <c r="I162" s="12" t="s">
        <v>77</v>
      </c>
      <c r="J162" s="16">
        <v>350.0</v>
      </c>
      <c r="K162" s="17">
        <v>46137.0</v>
      </c>
      <c r="L162" s="17">
        <v>46158.0</v>
      </c>
      <c r="M162" s="8" t="s">
        <v>66</v>
      </c>
    </row>
    <row r="163" ht="15.75" customHeight="1">
      <c r="A163" s="12" t="s">
        <v>874</v>
      </c>
      <c r="B163" s="12" t="s">
        <v>875</v>
      </c>
      <c r="C163" s="52" t="s">
        <v>876</v>
      </c>
      <c r="D163" s="12" t="s">
        <v>878</v>
      </c>
      <c r="E163" s="12" t="s">
        <v>879</v>
      </c>
      <c r="F163" s="12" t="s">
        <v>211</v>
      </c>
      <c r="G163" s="12" t="s">
        <v>48</v>
      </c>
      <c r="H163" s="12" t="s">
        <v>40</v>
      </c>
      <c r="I163" s="12" t="s">
        <v>50</v>
      </c>
      <c r="J163" s="16">
        <v>1200.0</v>
      </c>
      <c r="K163" s="17">
        <v>46047.0</v>
      </c>
      <c r="L163" s="17">
        <v>46067.0</v>
      </c>
      <c r="M163" s="8" t="s">
        <v>107</v>
      </c>
    </row>
    <row r="164" ht="15.75" customHeight="1">
      <c r="A164" s="12" t="s">
        <v>880</v>
      </c>
      <c r="B164" s="12" t="s">
        <v>881</v>
      </c>
      <c r="C164" s="13" t="s">
        <v>882</v>
      </c>
      <c r="D164" s="12" t="s">
        <v>883</v>
      </c>
      <c r="E164" s="12" t="s">
        <v>576</v>
      </c>
      <c r="F164" s="12" t="s">
        <v>211</v>
      </c>
      <c r="G164" s="12" t="s">
        <v>57</v>
      </c>
      <c r="H164" s="12" t="s">
        <v>28</v>
      </c>
      <c r="I164" s="12" t="s">
        <v>609</v>
      </c>
      <c r="J164" s="16">
        <v>350.0</v>
      </c>
      <c r="K164" s="17">
        <v>46043.0</v>
      </c>
      <c r="L164" s="17">
        <v>46081.0</v>
      </c>
      <c r="M164" s="8" t="s">
        <v>41</v>
      </c>
    </row>
    <row r="165" ht="15.75" customHeight="1">
      <c r="A165" s="12" t="s">
        <v>884</v>
      </c>
      <c r="B165" s="12" t="s">
        <v>885</v>
      </c>
      <c r="C165" s="13" t="s">
        <v>886</v>
      </c>
      <c r="D165" s="12" t="s">
        <v>887</v>
      </c>
      <c r="E165" s="12" t="s">
        <v>554</v>
      </c>
      <c r="F165" s="12" t="s">
        <v>26</v>
      </c>
      <c r="G165" s="12" t="s">
        <v>39</v>
      </c>
      <c r="H165" s="12" t="s">
        <v>76</v>
      </c>
      <c r="I165" s="12" t="s">
        <v>58</v>
      </c>
      <c r="J165" s="16"/>
      <c r="K165" s="17">
        <v>46219.0</v>
      </c>
      <c r="L165" s="17">
        <v>46261.0</v>
      </c>
      <c r="M165" s="8" t="s">
        <v>41</v>
      </c>
    </row>
    <row r="166" ht="15.75" customHeight="1">
      <c r="A166" s="12" t="s">
        <v>888</v>
      </c>
      <c r="B166" s="12" t="s">
        <v>889</v>
      </c>
      <c r="C166" s="13" t="s">
        <v>890</v>
      </c>
      <c r="D166" s="12" t="s">
        <v>891</v>
      </c>
      <c r="E166" s="12" t="s">
        <v>892</v>
      </c>
      <c r="F166" s="12" t="s">
        <v>162</v>
      </c>
      <c r="G166" s="12" t="s">
        <v>57</v>
      </c>
      <c r="H166" s="12" t="s">
        <v>28</v>
      </c>
      <c r="I166" s="12" t="s">
        <v>134</v>
      </c>
      <c r="J166" s="16"/>
      <c r="K166" s="17">
        <v>46233.0</v>
      </c>
      <c r="L166" s="17">
        <v>46254.0</v>
      </c>
      <c r="M166" s="8" t="s">
        <v>66</v>
      </c>
    </row>
    <row r="167" ht="15.75" customHeight="1">
      <c r="A167" s="12" t="s">
        <v>893</v>
      </c>
      <c r="B167" s="12" t="s">
        <v>894</v>
      </c>
      <c r="C167" s="13" t="s">
        <v>895</v>
      </c>
      <c r="D167" s="12" t="s">
        <v>896</v>
      </c>
      <c r="E167" s="12" t="s">
        <v>897</v>
      </c>
      <c r="F167" s="12" t="s">
        <v>75</v>
      </c>
      <c r="G167" s="12" t="s">
        <v>27</v>
      </c>
      <c r="H167" s="12" t="s">
        <v>49</v>
      </c>
      <c r="I167" s="12" t="s">
        <v>134</v>
      </c>
      <c r="J167" s="16">
        <v>4500.0</v>
      </c>
      <c r="K167" s="17">
        <v>46212.0</v>
      </c>
      <c r="L167" s="17">
        <v>46257.0</v>
      </c>
    </row>
    <row r="168" ht="15.75" customHeight="1">
      <c r="A168" s="12" t="s">
        <v>898</v>
      </c>
      <c r="B168" s="12" t="s">
        <v>899</v>
      </c>
      <c r="C168" s="13" t="s">
        <v>900</v>
      </c>
      <c r="D168" s="12" t="s">
        <v>901</v>
      </c>
      <c r="E168" s="12" t="s">
        <v>228</v>
      </c>
      <c r="F168" s="12" t="s">
        <v>75</v>
      </c>
      <c r="G168" s="12" t="s">
        <v>106</v>
      </c>
      <c r="H168" s="12" t="s">
        <v>49</v>
      </c>
      <c r="I168" s="12" t="s">
        <v>29</v>
      </c>
      <c r="J168" s="16">
        <v>1200.0</v>
      </c>
      <c r="K168" s="17">
        <v>46130.0</v>
      </c>
      <c r="L168" s="17">
        <v>46169.0</v>
      </c>
      <c r="M168" s="8" t="s">
        <v>30</v>
      </c>
    </row>
    <row r="169" ht="15.75" customHeight="1">
      <c r="A169" s="12" t="s">
        <v>902</v>
      </c>
      <c r="B169" s="12" t="s">
        <v>903</v>
      </c>
      <c r="C169" s="13" t="s">
        <v>904</v>
      </c>
      <c r="D169" s="12"/>
      <c r="E169" s="12" t="s">
        <v>325</v>
      </c>
      <c r="F169" s="12" t="s">
        <v>538</v>
      </c>
      <c r="G169" s="12" t="s">
        <v>27</v>
      </c>
      <c r="H169" s="12" t="s">
        <v>28</v>
      </c>
      <c r="I169" s="12" t="s">
        <v>77</v>
      </c>
      <c r="J169" s="16">
        <v>750.0</v>
      </c>
      <c r="K169" s="17">
        <v>46255.0</v>
      </c>
      <c r="L169" s="17">
        <v>46264.0</v>
      </c>
    </row>
    <row r="170" ht="15.75" customHeight="1">
      <c r="A170" s="12" t="s">
        <v>905</v>
      </c>
      <c r="B170" s="12" t="s">
        <v>906</v>
      </c>
      <c r="C170" s="13" t="s">
        <v>907</v>
      </c>
      <c r="D170" s="12" t="s">
        <v>908</v>
      </c>
      <c r="E170" s="12" t="s">
        <v>909</v>
      </c>
      <c r="F170" s="12" t="s">
        <v>211</v>
      </c>
      <c r="G170" s="12" t="s">
        <v>106</v>
      </c>
      <c r="H170" s="12" t="s">
        <v>40</v>
      </c>
      <c r="I170" s="12" t="s">
        <v>29</v>
      </c>
      <c r="J170" s="16">
        <v>750.0</v>
      </c>
      <c r="K170" s="17">
        <v>46127.0</v>
      </c>
      <c r="L170" s="17">
        <v>46168.0</v>
      </c>
    </row>
    <row r="171" ht="15.75" customHeight="1">
      <c r="A171" s="12" t="s">
        <v>910</v>
      </c>
      <c r="B171" s="12" t="s">
        <v>911</v>
      </c>
      <c r="C171" s="13" t="s">
        <v>912</v>
      </c>
      <c r="D171" s="12" t="s">
        <v>913</v>
      </c>
      <c r="E171" s="12" t="s">
        <v>760</v>
      </c>
      <c r="F171" s="12" t="s">
        <v>248</v>
      </c>
      <c r="G171" s="12" t="s">
        <v>27</v>
      </c>
      <c r="H171" s="12" t="s">
        <v>40</v>
      </c>
      <c r="I171" s="12" t="s">
        <v>77</v>
      </c>
      <c r="J171" s="16">
        <v>2000.0</v>
      </c>
      <c r="K171" s="17">
        <v>46238.0</v>
      </c>
      <c r="L171" s="17">
        <v>46263.0</v>
      </c>
      <c r="M171" s="8" t="s">
        <v>66</v>
      </c>
    </row>
    <row r="172" ht="15.75" customHeight="1">
      <c r="A172" s="12" t="s">
        <v>914</v>
      </c>
      <c r="B172" s="12" t="s">
        <v>915</v>
      </c>
      <c r="C172" s="13" t="s">
        <v>916</v>
      </c>
      <c r="D172" s="12" t="s">
        <v>917</v>
      </c>
      <c r="E172" s="12" t="s">
        <v>266</v>
      </c>
      <c r="F172" s="12" t="s">
        <v>664</v>
      </c>
      <c r="G172" s="12" t="s">
        <v>39</v>
      </c>
      <c r="H172" s="12" t="s">
        <v>40</v>
      </c>
      <c r="I172" s="12" t="s">
        <v>58</v>
      </c>
      <c r="J172" s="16">
        <v>750.0</v>
      </c>
      <c r="K172" s="17">
        <v>46100.0</v>
      </c>
      <c r="L172" s="17">
        <v>46104.0</v>
      </c>
      <c r="M172" s="8" t="s">
        <v>41</v>
      </c>
    </row>
    <row r="173" ht="15.75" customHeight="1">
      <c r="A173" s="12" t="s">
        <v>918</v>
      </c>
      <c r="B173" s="12" t="s">
        <v>863</v>
      </c>
      <c r="C173" s="52" t="s">
        <v>919</v>
      </c>
      <c r="D173" s="12" t="s">
        <v>920</v>
      </c>
      <c r="E173" s="12" t="s">
        <v>223</v>
      </c>
      <c r="F173" s="12" t="s">
        <v>56</v>
      </c>
      <c r="G173" s="12" t="s">
        <v>57</v>
      </c>
      <c r="H173" s="12" t="s">
        <v>49</v>
      </c>
      <c r="I173" s="12" t="s">
        <v>65</v>
      </c>
      <c r="J173" s="16">
        <v>3000.0</v>
      </c>
      <c r="K173" s="17">
        <v>46053.0</v>
      </c>
      <c r="L173" s="17"/>
      <c r="M173" s="8" t="s">
        <v>30</v>
      </c>
    </row>
    <row r="174" ht="15.75" customHeight="1">
      <c r="A174" s="12" t="s">
        <v>921</v>
      </c>
      <c r="B174" s="12" t="s">
        <v>922</v>
      </c>
      <c r="C174" s="13" t="s">
        <v>923</v>
      </c>
      <c r="D174" s="12" t="s">
        <v>924</v>
      </c>
      <c r="E174" s="12" t="s">
        <v>400</v>
      </c>
      <c r="F174" s="12" t="s">
        <v>38</v>
      </c>
      <c r="G174" s="12" t="s">
        <v>57</v>
      </c>
      <c r="H174" s="12" t="s">
        <v>217</v>
      </c>
      <c r="I174" s="12" t="s">
        <v>77</v>
      </c>
      <c r="J174" s="16">
        <v>2000.0</v>
      </c>
      <c r="K174" s="17">
        <v>46244.0</v>
      </c>
      <c r="L174" s="17">
        <v>46282.0</v>
      </c>
      <c r="M174" s="8" t="s">
        <v>107</v>
      </c>
    </row>
    <row r="175" ht="15.75" customHeight="1">
      <c r="A175" s="12" t="s">
        <v>925</v>
      </c>
      <c r="B175" s="12" t="s">
        <v>926</v>
      </c>
      <c r="C175" s="13" t="s">
        <v>927</v>
      </c>
      <c r="D175" s="12" t="s">
        <v>928</v>
      </c>
      <c r="E175" s="12" t="s">
        <v>713</v>
      </c>
      <c r="F175" s="12" t="s">
        <v>132</v>
      </c>
      <c r="G175" s="12" t="s">
        <v>48</v>
      </c>
      <c r="H175" s="12" t="s">
        <v>40</v>
      </c>
      <c r="I175" s="12" t="s">
        <v>134</v>
      </c>
      <c r="J175" s="16">
        <v>3000.0</v>
      </c>
      <c r="K175" s="17">
        <v>46041.0</v>
      </c>
      <c r="L175" s="17">
        <v>46070.0</v>
      </c>
      <c r="M175" s="8" t="s">
        <v>107</v>
      </c>
    </row>
    <row r="176" ht="15.75" customHeight="1">
      <c r="A176" s="12" t="s">
        <v>929</v>
      </c>
      <c r="B176" s="12" t="s">
        <v>930</v>
      </c>
      <c r="C176" s="13" t="s">
        <v>931</v>
      </c>
      <c r="D176" s="12" t="s">
        <v>932</v>
      </c>
      <c r="E176" s="12" t="s">
        <v>879</v>
      </c>
      <c r="F176" s="12" t="s">
        <v>88</v>
      </c>
      <c r="G176" s="12" t="s">
        <v>57</v>
      </c>
      <c r="H176" s="12" t="s">
        <v>40</v>
      </c>
      <c r="I176" s="12" t="s">
        <v>29</v>
      </c>
      <c r="J176" s="16">
        <v>3000.0</v>
      </c>
      <c r="K176" s="17">
        <v>46248.0</v>
      </c>
      <c r="L176" s="17">
        <v>46290.0</v>
      </c>
      <c r="M176" s="8" t="s">
        <v>107</v>
      </c>
    </row>
    <row r="177" ht="15.75" customHeight="1">
      <c r="A177" s="12" t="s">
        <v>933</v>
      </c>
      <c r="B177" s="12" t="s">
        <v>255</v>
      </c>
      <c r="C177" s="13" t="s">
        <v>934</v>
      </c>
      <c r="D177" s="12" t="s">
        <v>935</v>
      </c>
      <c r="E177" s="12" t="s">
        <v>936</v>
      </c>
      <c r="F177" s="12" t="s">
        <v>47</v>
      </c>
      <c r="G177" s="12" t="s">
        <v>57</v>
      </c>
      <c r="H177" s="12" t="s">
        <v>217</v>
      </c>
      <c r="I177" s="12" t="s">
        <v>134</v>
      </c>
      <c r="J177" s="16">
        <v>900.0</v>
      </c>
      <c r="K177" s="17">
        <v>46216.0</v>
      </c>
      <c r="L177" s="17">
        <v>46230.0</v>
      </c>
      <c r="M177" s="8" t="s">
        <v>66</v>
      </c>
    </row>
    <row r="178" ht="15.75" customHeight="1">
      <c r="A178" s="12" t="s">
        <v>937</v>
      </c>
      <c r="B178" s="12" t="s">
        <v>234</v>
      </c>
      <c r="C178" s="13" t="s">
        <v>938</v>
      </c>
      <c r="D178" s="12"/>
      <c r="E178" s="12" t="s">
        <v>939</v>
      </c>
      <c r="F178" s="12" t="s">
        <v>168</v>
      </c>
      <c r="G178" s="12" t="s">
        <v>27</v>
      </c>
      <c r="H178" s="12" t="s">
        <v>40</v>
      </c>
      <c r="I178" s="12" t="s">
        <v>77</v>
      </c>
      <c r="J178" s="16">
        <v>3000.0</v>
      </c>
      <c r="K178" s="17">
        <v>46095.0</v>
      </c>
      <c r="L178" s="17"/>
      <c r="M178" s="8" t="s">
        <v>107</v>
      </c>
    </row>
    <row r="179" ht="15.75" customHeight="1">
      <c r="A179" s="12" t="s">
        <v>940</v>
      </c>
      <c r="B179" s="12" t="s">
        <v>941</v>
      </c>
      <c r="C179" s="13" t="s">
        <v>942</v>
      </c>
      <c r="D179" s="12" t="s">
        <v>943</v>
      </c>
      <c r="E179" s="12" t="s">
        <v>944</v>
      </c>
      <c r="F179" s="12" t="s">
        <v>201</v>
      </c>
      <c r="G179" s="12" t="s">
        <v>27</v>
      </c>
      <c r="H179" s="12" t="s">
        <v>217</v>
      </c>
      <c r="I179" s="12" t="s">
        <v>50</v>
      </c>
      <c r="J179" s="16">
        <v>750.0</v>
      </c>
      <c r="K179" s="17">
        <v>46027.0</v>
      </c>
      <c r="L179" s="17">
        <v>46043.0</v>
      </c>
      <c r="M179" s="8" t="s">
        <v>66</v>
      </c>
    </row>
    <row r="180" ht="15.75" customHeight="1">
      <c r="A180" s="12" t="s">
        <v>945</v>
      </c>
      <c r="B180" s="12" t="s">
        <v>946</v>
      </c>
      <c r="C180" s="13" t="s">
        <v>947</v>
      </c>
      <c r="D180" s="12" t="s">
        <v>948</v>
      </c>
      <c r="E180" s="12" t="s">
        <v>949</v>
      </c>
      <c r="F180" s="12" t="s">
        <v>38</v>
      </c>
      <c r="G180" s="12" t="s">
        <v>133</v>
      </c>
      <c r="H180" s="12" t="s">
        <v>49</v>
      </c>
      <c r="I180" s="12" t="s">
        <v>58</v>
      </c>
      <c r="J180" s="16">
        <v>750.0</v>
      </c>
      <c r="K180" s="17">
        <v>46097.0</v>
      </c>
      <c r="L180" s="17">
        <v>46142.0</v>
      </c>
      <c r="M180" s="8" t="s">
        <v>66</v>
      </c>
    </row>
    <row r="181" ht="15.75" customHeight="1">
      <c r="A181" s="12" t="s">
        <v>950</v>
      </c>
      <c r="B181" s="12" t="s">
        <v>951</v>
      </c>
      <c r="C181" s="13" t="s">
        <v>952</v>
      </c>
      <c r="D181" s="12" t="s">
        <v>953</v>
      </c>
      <c r="E181" s="12"/>
      <c r="F181" s="12" t="s">
        <v>88</v>
      </c>
      <c r="G181" s="12" t="s">
        <v>27</v>
      </c>
      <c r="H181" s="12" t="s">
        <v>49</v>
      </c>
      <c r="I181" s="12" t="s">
        <v>58</v>
      </c>
      <c r="J181" s="16">
        <v>3000.0</v>
      </c>
      <c r="K181" s="17">
        <v>46083.0</v>
      </c>
      <c r="L181" s="17">
        <v>46123.0</v>
      </c>
      <c r="M181" s="8" t="s">
        <v>107</v>
      </c>
    </row>
    <row r="182" ht="15.75" customHeight="1">
      <c r="A182" s="12" t="s">
        <v>954</v>
      </c>
      <c r="B182" s="12" t="s">
        <v>955</v>
      </c>
      <c r="C182" s="13" t="s">
        <v>956</v>
      </c>
      <c r="D182" s="12" t="s">
        <v>957</v>
      </c>
      <c r="E182" s="12" t="s">
        <v>266</v>
      </c>
      <c r="F182" s="12" t="s">
        <v>162</v>
      </c>
      <c r="G182" s="12" t="s">
        <v>106</v>
      </c>
      <c r="H182" s="12" t="s">
        <v>28</v>
      </c>
      <c r="I182" s="12" t="s">
        <v>29</v>
      </c>
      <c r="J182" s="16">
        <v>750.0</v>
      </c>
      <c r="K182" s="17">
        <v>46201.0</v>
      </c>
      <c r="L182" s="17">
        <v>46211.0</v>
      </c>
      <c r="M182" s="8" t="s">
        <v>30</v>
      </c>
    </row>
    <row r="183" ht="15.75" customHeight="1">
      <c r="A183" s="12" t="s">
        <v>958</v>
      </c>
      <c r="B183" s="12" t="s">
        <v>959</v>
      </c>
      <c r="C183" s="13" t="s">
        <v>960</v>
      </c>
      <c r="D183" s="12"/>
      <c r="E183" s="12" t="s">
        <v>962</v>
      </c>
      <c r="F183" s="12" t="s">
        <v>283</v>
      </c>
      <c r="G183" s="12" t="s">
        <v>48</v>
      </c>
      <c r="H183" s="12" t="s">
        <v>40</v>
      </c>
      <c r="I183" s="12" t="s">
        <v>77</v>
      </c>
      <c r="J183" s="16">
        <v>500.0</v>
      </c>
      <c r="K183" s="17">
        <v>46189.0</v>
      </c>
      <c r="L183" s="17">
        <v>46190.0</v>
      </c>
      <c r="M183" s="8" t="s">
        <v>66</v>
      </c>
    </row>
    <row r="184" ht="15.75" customHeight="1">
      <c r="A184" s="12" t="s">
        <v>964</v>
      </c>
      <c r="B184" s="12" t="s">
        <v>965</v>
      </c>
      <c r="C184" s="13" t="s">
        <v>966</v>
      </c>
      <c r="D184" s="12" t="s">
        <v>967</v>
      </c>
      <c r="E184" s="12" t="s">
        <v>944</v>
      </c>
      <c r="F184" s="12" t="s">
        <v>126</v>
      </c>
      <c r="G184" s="12" t="s">
        <v>133</v>
      </c>
      <c r="H184" s="12" t="s">
        <v>40</v>
      </c>
      <c r="I184" s="12" t="s">
        <v>77</v>
      </c>
      <c r="J184" s="16">
        <v>750.0</v>
      </c>
      <c r="K184" s="17">
        <v>46229.0</v>
      </c>
      <c r="L184" s="17">
        <v>46257.0</v>
      </c>
      <c r="M184" s="8" t="s">
        <v>95</v>
      </c>
    </row>
    <row r="185" ht="15.75" customHeight="1">
      <c r="A185" s="12" t="s">
        <v>968</v>
      </c>
      <c r="B185" s="12" t="s">
        <v>969</v>
      </c>
      <c r="C185" s="13" t="s">
        <v>970</v>
      </c>
      <c r="D185" s="12" t="s">
        <v>972</v>
      </c>
      <c r="E185" s="12" t="s">
        <v>973</v>
      </c>
      <c r="F185" s="12" t="s">
        <v>38</v>
      </c>
      <c r="G185" s="12" t="s">
        <v>133</v>
      </c>
      <c r="H185" s="12" t="s">
        <v>76</v>
      </c>
      <c r="I185" s="12" t="s">
        <v>134</v>
      </c>
      <c r="J185" s="16">
        <v>350.0</v>
      </c>
      <c r="K185" s="17">
        <v>46220.0</v>
      </c>
      <c r="L185" s="17">
        <v>46253.0</v>
      </c>
      <c r="M185" s="8" t="s">
        <v>95</v>
      </c>
    </row>
    <row r="186" ht="15.75" customHeight="1">
      <c r="A186" s="12" t="s">
        <v>975</v>
      </c>
      <c r="B186" s="12" t="s">
        <v>976</v>
      </c>
      <c r="C186" s="13" t="s">
        <v>977</v>
      </c>
      <c r="D186" s="12" t="s">
        <v>978</v>
      </c>
      <c r="E186" s="12" t="s">
        <v>897</v>
      </c>
      <c r="F186" s="12" t="s">
        <v>168</v>
      </c>
      <c r="G186" s="12" t="s">
        <v>57</v>
      </c>
      <c r="H186" s="12" t="s">
        <v>217</v>
      </c>
      <c r="I186" s="12" t="s">
        <v>304</v>
      </c>
      <c r="J186" s="16">
        <v>350.0</v>
      </c>
      <c r="K186" s="17">
        <v>46034.0</v>
      </c>
      <c r="L186" s="17">
        <v>46072.0</v>
      </c>
      <c r="M186" s="8" t="s">
        <v>66</v>
      </c>
    </row>
    <row r="187" ht="15.75" customHeight="1">
      <c r="A187" s="12" t="s">
        <v>979</v>
      </c>
      <c r="B187" s="12" t="s">
        <v>980</v>
      </c>
      <c r="C187" s="52" t="s">
        <v>981</v>
      </c>
      <c r="D187" s="12" t="s">
        <v>982</v>
      </c>
      <c r="E187" s="12" t="s">
        <v>983</v>
      </c>
      <c r="F187" s="12" t="s">
        <v>201</v>
      </c>
      <c r="G187" s="12" t="s">
        <v>39</v>
      </c>
      <c r="H187" s="12" t="s">
        <v>28</v>
      </c>
      <c r="I187" s="12" t="s">
        <v>134</v>
      </c>
      <c r="J187" s="16">
        <v>2000.0</v>
      </c>
      <c r="K187" s="17">
        <v>46158.0</v>
      </c>
      <c r="L187" s="17">
        <v>46190.0</v>
      </c>
      <c r="M187" s="8" t="s">
        <v>107</v>
      </c>
    </row>
    <row r="188" ht="15.75" customHeight="1">
      <c r="A188" s="12" t="s">
        <v>984</v>
      </c>
      <c r="B188" s="12" t="s">
        <v>881</v>
      </c>
      <c r="C188" s="13" t="s">
        <v>985</v>
      </c>
      <c r="D188" s="12"/>
      <c r="E188" s="12" t="s">
        <v>973</v>
      </c>
      <c r="F188" s="12" t="s">
        <v>283</v>
      </c>
      <c r="G188" s="12" t="s">
        <v>133</v>
      </c>
      <c r="H188" s="12" t="s">
        <v>40</v>
      </c>
      <c r="I188" s="12" t="s">
        <v>50</v>
      </c>
      <c r="J188" s="16">
        <v>350.0</v>
      </c>
      <c r="K188" s="17">
        <v>46154.0</v>
      </c>
      <c r="L188" s="17">
        <v>46180.0</v>
      </c>
    </row>
    <row r="189" ht="15.75" customHeight="1">
      <c r="A189" s="12" t="s">
        <v>986</v>
      </c>
      <c r="B189" s="12" t="s">
        <v>987</v>
      </c>
      <c r="C189" s="13" t="s">
        <v>988</v>
      </c>
      <c r="D189" s="12"/>
      <c r="E189" s="12" t="s">
        <v>325</v>
      </c>
      <c r="F189" s="12" t="s">
        <v>47</v>
      </c>
      <c r="G189" s="12" t="s">
        <v>27</v>
      </c>
      <c r="H189" s="12" t="s">
        <v>76</v>
      </c>
      <c r="I189" s="12" t="s">
        <v>577</v>
      </c>
      <c r="J189" s="16">
        <v>750.0</v>
      </c>
      <c r="K189" s="17">
        <v>46156.0</v>
      </c>
      <c r="L189" s="17">
        <v>46197.0</v>
      </c>
      <c r="M189" s="8" t="s">
        <v>41</v>
      </c>
    </row>
    <row r="190" ht="15.75" customHeight="1">
      <c r="A190" s="12" t="s">
        <v>989</v>
      </c>
      <c r="B190" s="12" t="s">
        <v>990</v>
      </c>
      <c r="C190" s="13" t="s">
        <v>991</v>
      </c>
      <c r="D190" s="12" t="s">
        <v>992</v>
      </c>
      <c r="E190" s="12" t="s">
        <v>325</v>
      </c>
      <c r="F190" s="12" t="s">
        <v>38</v>
      </c>
      <c r="G190" s="12" t="s">
        <v>106</v>
      </c>
      <c r="H190" s="12" t="s">
        <v>76</v>
      </c>
      <c r="I190" s="12" t="s">
        <v>134</v>
      </c>
      <c r="J190" s="16">
        <v>350.0</v>
      </c>
      <c r="K190" s="17">
        <v>46119.0</v>
      </c>
      <c r="L190" s="17">
        <v>46127.0</v>
      </c>
      <c r="M190" s="8" t="s">
        <v>66</v>
      </c>
    </row>
    <row r="191" ht="15.75" customHeight="1">
      <c r="A191" s="12" t="s">
        <v>993</v>
      </c>
      <c r="B191" s="12" t="s">
        <v>994</v>
      </c>
      <c r="C191" s="13" t="s">
        <v>995</v>
      </c>
      <c r="D191" s="12" t="s">
        <v>996</v>
      </c>
      <c r="E191" s="12" t="s">
        <v>997</v>
      </c>
      <c r="F191" s="12" t="s">
        <v>26</v>
      </c>
      <c r="G191" s="12" t="s">
        <v>39</v>
      </c>
      <c r="H191" s="12" t="s">
        <v>76</v>
      </c>
      <c r="I191" s="12" t="s">
        <v>134</v>
      </c>
      <c r="J191" s="16">
        <v>1200.0</v>
      </c>
      <c r="K191" s="17">
        <v>46165.0</v>
      </c>
      <c r="L191" s="17">
        <v>46205.0</v>
      </c>
      <c r="M191" s="8" t="s">
        <v>107</v>
      </c>
    </row>
    <row r="192" ht="15.75" customHeight="1">
      <c r="A192" s="12" t="s">
        <v>68</v>
      </c>
      <c r="B192" s="12" t="s">
        <v>34</v>
      </c>
      <c r="C192" s="13" t="s">
        <v>35</v>
      </c>
      <c r="D192" s="12" t="s">
        <v>36</v>
      </c>
      <c r="E192" s="12" t="s">
        <v>37</v>
      </c>
      <c r="F192" s="12" t="s">
        <v>38</v>
      </c>
      <c r="G192" s="12" t="s">
        <v>39</v>
      </c>
      <c r="H192" s="12" t="s">
        <v>40</v>
      </c>
      <c r="I192" s="12" t="s">
        <v>29</v>
      </c>
      <c r="J192" s="16">
        <v>3000.0</v>
      </c>
      <c r="K192" s="17">
        <v>46088.0</v>
      </c>
      <c r="L192" s="17">
        <v>46113.0</v>
      </c>
      <c r="M192" s="8" t="s">
        <v>41</v>
      </c>
    </row>
    <row r="193" ht="15.75" customHeight="1">
      <c r="A193" s="12" t="s">
        <v>305</v>
      </c>
      <c r="B193" s="12" t="s">
        <v>306</v>
      </c>
      <c r="C193" s="13" t="s">
        <v>307</v>
      </c>
      <c r="D193" s="12" t="s">
        <v>160</v>
      </c>
      <c r="E193" s="12" t="s">
        <v>161</v>
      </c>
      <c r="F193" s="12" t="s">
        <v>162</v>
      </c>
      <c r="G193" s="12" t="s">
        <v>48</v>
      </c>
      <c r="H193" s="12" t="s">
        <v>28</v>
      </c>
      <c r="I193" s="12" t="s">
        <v>134</v>
      </c>
      <c r="J193" s="16">
        <v>1500.0</v>
      </c>
      <c r="K193" s="17">
        <v>46253.0</v>
      </c>
      <c r="L193" s="17">
        <v>46275.0</v>
      </c>
      <c r="M193" s="8" t="s">
        <v>66</v>
      </c>
    </row>
    <row r="194" ht="15.75" customHeight="1">
      <c r="A194" s="12" t="s">
        <v>1004</v>
      </c>
      <c r="B194" s="12" t="s">
        <v>568</v>
      </c>
      <c r="C194" s="13" t="s">
        <v>1002</v>
      </c>
      <c r="D194" s="12" t="s">
        <v>1003</v>
      </c>
      <c r="E194" s="12" t="s">
        <v>173</v>
      </c>
      <c r="F194" s="12" t="s">
        <v>168</v>
      </c>
      <c r="G194" s="12" t="s">
        <v>133</v>
      </c>
      <c r="H194" s="12" t="s">
        <v>28</v>
      </c>
      <c r="I194" s="12" t="s">
        <v>65</v>
      </c>
      <c r="J194" s="16">
        <v>2500.0</v>
      </c>
      <c r="K194" s="17">
        <v>46209.0</v>
      </c>
      <c r="L194" s="17">
        <v>46233.0</v>
      </c>
    </row>
    <row r="195" ht="15.75" customHeight="1">
      <c r="A195" s="12" t="s">
        <v>1007</v>
      </c>
      <c r="B195" s="12" t="s">
        <v>1008</v>
      </c>
      <c r="C195" s="13" t="s">
        <v>260</v>
      </c>
      <c r="D195" s="12" t="s">
        <v>271</v>
      </c>
      <c r="E195" s="12" t="s">
        <v>272</v>
      </c>
      <c r="F195" s="12" t="s">
        <v>120</v>
      </c>
      <c r="G195" s="12" t="s">
        <v>57</v>
      </c>
      <c r="H195" s="12" t="s">
        <v>40</v>
      </c>
      <c r="I195" s="12" t="s">
        <v>50</v>
      </c>
      <c r="J195" s="16">
        <v>1200.0</v>
      </c>
      <c r="K195" s="17">
        <v>46263.0</v>
      </c>
      <c r="L195" s="17">
        <v>46304.0</v>
      </c>
      <c r="M195" s="8" t="s">
        <v>95</v>
      </c>
    </row>
    <row r="196" ht="15.75" customHeight="1">
      <c r="A196" s="12" t="s">
        <v>998</v>
      </c>
      <c r="B196" s="12" t="s">
        <v>588</v>
      </c>
      <c r="C196" s="13" t="s">
        <v>999</v>
      </c>
      <c r="D196" s="12" t="s">
        <v>590</v>
      </c>
      <c r="E196" s="12" t="s">
        <v>591</v>
      </c>
      <c r="F196" s="12" t="s">
        <v>47</v>
      </c>
      <c r="G196" s="12" t="s">
        <v>57</v>
      </c>
      <c r="H196" s="12" t="s">
        <v>28</v>
      </c>
      <c r="I196" s="12" t="s">
        <v>29</v>
      </c>
      <c r="J196" s="16">
        <v>1200.0</v>
      </c>
      <c r="K196" s="17">
        <v>46232.0</v>
      </c>
      <c r="L196" s="17">
        <v>46254.0</v>
      </c>
    </row>
    <row r="197" ht="15.75" customHeight="1">
      <c r="A197" s="12" t="s">
        <v>1005</v>
      </c>
      <c r="B197" s="12" t="s">
        <v>1006</v>
      </c>
      <c r="C197" s="52"/>
      <c r="D197" s="12" t="s">
        <v>580</v>
      </c>
      <c r="E197" s="12" t="s">
        <v>581</v>
      </c>
      <c r="F197" s="12" t="s">
        <v>582</v>
      </c>
      <c r="G197" s="12" t="s">
        <v>57</v>
      </c>
      <c r="H197" s="12" t="s">
        <v>76</v>
      </c>
      <c r="I197" s="12" t="s">
        <v>77</v>
      </c>
      <c r="J197" s="16">
        <v>2000.0</v>
      </c>
      <c r="K197" s="17">
        <v>46041.0</v>
      </c>
      <c r="L197" s="17">
        <v>46061.0</v>
      </c>
      <c r="M197" s="8" t="s">
        <v>66</v>
      </c>
    </row>
    <row r="198" ht="15.75" customHeight="1">
      <c r="A198" s="12" t="s">
        <v>430</v>
      </c>
      <c r="B198" s="12" t="s">
        <v>373</v>
      </c>
      <c r="C198" s="13" t="s">
        <v>374</v>
      </c>
      <c r="D198" s="12" t="s">
        <v>375</v>
      </c>
      <c r="E198" s="12" t="s">
        <v>376</v>
      </c>
      <c r="F198" s="12" t="s">
        <v>162</v>
      </c>
      <c r="G198" s="12" t="s">
        <v>48</v>
      </c>
      <c r="H198" s="12" t="s">
        <v>76</v>
      </c>
      <c r="I198" s="12" t="s">
        <v>58</v>
      </c>
      <c r="J198" s="16">
        <v>350.0</v>
      </c>
      <c r="K198" s="17">
        <v>46191.0</v>
      </c>
      <c r="L198" s="17">
        <v>46214.0</v>
      </c>
    </row>
    <row r="199" ht="15.75" customHeight="1">
      <c r="A199" s="12" t="s">
        <v>1014</v>
      </c>
      <c r="B199" s="12" t="s">
        <v>1015</v>
      </c>
      <c r="C199" s="13" t="s">
        <v>1011</v>
      </c>
      <c r="D199" s="12" t="s">
        <v>1012</v>
      </c>
      <c r="E199" s="12" t="s">
        <v>1013</v>
      </c>
      <c r="F199" s="12" t="s">
        <v>201</v>
      </c>
      <c r="G199" s="12" t="s">
        <v>57</v>
      </c>
      <c r="H199" s="12" t="s">
        <v>76</v>
      </c>
      <c r="I199" s="12" t="s">
        <v>50</v>
      </c>
      <c r="J199" s="16">
        <v>3000.0</v>
      </c>
      <c r="K199" s="17">
        <v>46045.0</v>
      </c>
      <c r="L199" s="17">
        <v>46073.0</v>
      </c>
      <c r="M199" s="8" t="s">
        <v>95</v>
      </c>
    </row>
    <row r="200" ht="15.75" customHeight="1">
      <c r="A200" s="12" t="s">
        <v>1000</v>
      </c>
      <c r="B200" s="12" t="s">
        <v>177</v>
      </c>
      <c r="C200" s="13" t="s">
        <v>963</v>
      </c>
      <c r="D200" s="12" t="s">
        <v>971</v>
      </c>
      <c r="E200" s="12" t="s">
        <v>974</v>
      </c>
      <c r="F200" s="12" t="s">
        <v>205</v>
      </c>
      <c r="G200" s="12" t="s">
        <v>133</v>
      </c>
      <c r="H200" s="12" t="s">
        <v>49</v>
      </c>
      <c r="I200" s="12" t="s">
        <v>65</v>
      </c>
      <c r="J200" s="16">
        <v>500.0</v>
      </c>
      <c r="K200" s="17">
        <v>46245.0</v>
      </c>
      <c r="L200" s="17">
        <v>46255.0</v>
      </c>
      <c r="M200" s="8" t="s">
        <v>30</v>
      </c>
    </row>
    <row r="201" ht="15.75" customHeight="1">
      <c r="A201" s="12" t="s">
        <v>113</v>
      </c>
      <c r="B201" s="12" t="s">
        <v>114</v>
      </c>
      <c r="C201" s="13" t="s">
        <v>81</v>
      </c>
      <c r="D201" s="12"/>
      <c r="E201" s="12"/>
      <c r="F201" s="12" t="s">
        <v>82</v>
      </c>
      <c r="G201" s="12" t="s">
        <v>57</v>
      </c>
      <c r="H201" s="12" t="s">
        <v>40</v>
      </c>
      <c r="I201" s="12" t="s">
        <v>77</v>
      </c>
      <c r="J201" s="16">
        <v>1500.0</v>
      </c>
      <c r="K201" s="17">
        <v>46030.0</v>
      </c>
      <c r="L201" s="17">
        <v>46043.0</v>
      </c>
      <c r="M201" s="8" t="s">
        <v>30</v>
      </c>
    </row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DropDown="1" showErrorMessage="1" sqref="I2:I201">
      <formula1>"Contacted,New,Lost,Won,Proposal Sent,Qualified,qualified ,new,CONTACTED,Proposal"</formula1>
    </dataValidation>
    <dataValidation type="list" allowBlank="1" showDropDown="1" showErrorMessage="1" sqref="D2:D201">
      <formula1>"201539268,+1-5585000486,+503 23813586,+54 8433709892,+51 696 199 746,+56 510972174,+1 2474157676,+503 09369254,+503 70533950,2859040010,+34-105504239,+54-2437252546,+54-2332522808,+1-8301135501,425439667,2133177044,825136069,+51 380 353 771,+503 574 493 3"&amp;"8,61320024,3145091327,1239353409,+57 299 254 3784,2309827434,+54 5898158879,+52 0203959259,+52-8554682838,+1-4772755215,881839487,+57 406 830 4098,+503 323 170 50,+56 625 147 716,5161885601,+57 1778362014,+51 652057098,+503 311 113 05,+1-3605265298,+56-14"&amp;"3908964,+57 270 603 6025,+57 999 972 1801,+57-5080060809,+52 0112761625,+56-890013966,+34 778 887 740,8211396692,+51 544 209 389,7847790960,+503 295 606 49,+54 3292373787,+52-0552303571,+57-4585022660,8183107855,+1-3771357664,+52 048 187 9725,+54-64331362"&amp;"48,+56 985 264 358,2168233908,+51-515990381,+56 514 763 909,+503-99090473,+54 2159575470,+503 26678694,921879441,+1-5336844149,+56-124965231,+503-79101013,333427070,+57-4518781347,+1 968 359 4750,7562423315,02459593,7665420309,+54 837 455 6123,8070743004,"&amp;"+34 276297111,+1-7651379288,+56-709672057,+1-7323032338,9371595864,+34-414454779,+52 361 107 5819,+51-104165797,+56 951667994,+34 745 616 412,105054787,848766383,+57 6534755042,4313534385,+34 813 084 667,+503 54250792,+1 491 770 2629,+51 845774387,+503 27"&amp;"5 304 17,+56 604 702 366,+1 698 088 2051,+52-8293081129,601867359,+34 617591710,+57 942 640 0471,+56 700683065,+1 337 473 7716,+503 570 829 54,+56 356 142 033,+1 463 450 0076,+34 940 882 859,+1 9561685659,+34 086 185 140,+56 226 129 038,+56 560 133 098,+3"&amp;"4-790386715,+51 339 768 353,+1 635 410 9940,8567496328,1957410267,+34-918285663,+503 81128520,082230988,+56-286970949,+54 245 100 6367,8882056262,+56 898 597 771,+52-6150366632,433147727,+51 736 271 433,1498890472,+57 2907151478,+57 538 154 3613,790258669"&amp;",+1-8300585560,361739448,+51 164435378,+503-15737884,9325473404,68353660,+34-276910798,46816577,+34-888532093,+54-8088893920,+503-66191375,+51 551149129,+51-638299429,3521981237,2160990710,711204062,+57-2266782499,621229034,+54 875 785 3178,6208974456,+57"&amp;" 767 262 5339,+34-361067270,+51 717 127 847,+52 5621833852,+52-8071470510,+56 270488243,+1 1882359298,+1-7598255590,+1-4183584322,1298537478,+57 6334538656,607521611,+54-0643959911,+56 084924937,1171726132,+503 96814495,+503 89621861,4920159611,685508313,"&amp;"09409693,+1 4705038251,+51 216932765,+56 602 437 918,+54 8426880738,+52 7269446106,+56-315447407,+56-702963040"</formula1>
    </dataValidation>
    <dataValidation type="list" allowBlank="1" showDropDown="1" showErrorMessage="1" sqref="A2:A201">
      <formula1>"ALM-0001,ALM-0002,ALM-0003,ALM-0004,ALM-0005,ALM-0006,ALM-0007,ALM-0008,ALM-0009,ALM-0010,ALM-0011,ALM-0012,ALM-0013,ALM-0014,ALM-0015,ALM-0016,ALM-0017,ALM-0018,ALM-0019,ALM-0020,ALM-0021,ALM-0022,ALM-0023,ALM-0024,ALM-0025,ALM-0026,ALM-0027,ALM-0028,ALM"&amp;"-0029,ALM-0030,ALM-0031,ALM-0032,ALM-0033,ALM-0034,ALM-0035,ALM-0036,ALM-0037,ALM-0038,ALM-0039,ALM-0040,ALM-0041,ALM-0042,ALM-0043,ALM-0044,ALM-0045,ALM-0046,ALM-0047,ALM-0048,ALM-0049,ALM-0050,ALM-0051,ALM-0052,ALM-0053,ALM-0054,ALM-0055,ALM-0056,ALM-00"&amp;"57,ALM-0058,ALM-0059,ALM-0060,ALM-0061,ALM-0062,ALM-0063,ALM-0064,ALM-0065,ALM-0066,ALM-0067,ALM-0068,ALM-0069,ALM-0070,ALM-0071,ALM-0072,ALM-0073,ALM-0074,ALM-0075,ALM-0076,ALM-0077,ALM-0078,ALM-0079,ALM-0080,ALM-0081,ALM-0082,ALM-0083,ALM-0084,ALM-0085,"&amp;"ALM-0086,ALM-0087,ALM-0088,ALM-0089,ALM-0090,ALM-0091,ALM-0092,ALM-0093,ALM-0094,ALM-0095,ALM-0096,ALM-0097,ALM-0098,ALM-0099,ALM-0100,ALM-0101,ALM-0102,ALM-0103,ALM-0104,ALM-0105,ALM-0106,ALM-0107,ALM-0108,ALM-0109,ALM-0110,ALM-0111,ALM-0112,ALM-0113,ALM"&amp;"-0114,ALM-0115,ALM-0116,ALM-0117,ALM-0118,ALM-0119,ALM-0120,ALM-0121,ALM-0122,ALM-0123,ALM-0124,ALM-0125,ALM-0126,ALM-0127,ALM-0128,ALM-0129,ALM-0130,ALM-0131,ALM-0132,ALM-0133,ALM-0134,ALM-0135,ALM-0136,ALM-0137,ALM-0138,ALM-0139,ALM-0140,ALM-0141,ALM-01"&amp;"42,ALM-0143,ALM-0144,ALM-0145,ALM-0146,ALM-0147,ALM-0148,ALM-0149,ALM-0150,ALM-0151,ALM-0152,ALM-0153,ALM-0154,ALM-0155,ALM-0156,ALM-0157,ALM-0158,ALM-0159,ALM-0160,ALM-0161,ALM-0162,ALM-0163,ALM-0164,ALM-0165,ALM-0166,ALM-0167,ALM-0168,ALM-0169,ALM-0170,"&amp;"ALM-0171,ALM-0172,ALM-0173,ALM-0174,ALM-0175,ALM-0176,ALM-0177,ALM-0178,ALM-0179,ALM-0180,ALM-0181,ALM-0182,ALM-0183,ALM-0184,ALM-0185,ALM-0186,ALM-0187,ALM-0188,ALM-0189,ALM-0190,ALM-0191,ALM-0192,ALM-0193,ALM-0194,ALM-0195,ALM-0196,ALM-0197,ALM-0198,ALM"&amp;"-0199,ALM-0200"</formula1>
    </dataValidation>
    <dataValidation type="custom" allowBlank="1" showDropDown="1" sqref="K2:L201">
      <formula1>OR(NOT(ISERROR(DATEVALUE(K2))), AND(ISNUMBER(K2), LEFT(CELL("format", K2))="D"))</formula1>
    </dataValidation>
    <dataValidation type="list" allowBlank="1" showDropDown="1" showErrorMessage="1" sqref="G2:G201">
      <formula1>"Organic Search,Website,Referral,Facebook,Instagram,LinkedIn"</formula1>
    </dataValidation>
    <dataValidation type="list" allowBlank="1" showDropDown="1" showErrorMessage="1" sqref="B2:B201">
      <formula1>"Alejandro Navarro,Valeria Rivera,Carlos Navarro,María González,Carolina Navarro,Paula Díaz,María Rivera,PATRICIA MARTÍNEZ,Miguel Rodríguez,Manuel López,Patricia Pérez,  Andrés Martínez  ,natalia ortiz,Camila Torres,  Sergio Ortiz  ,Javier Díaz,Javier Mart"&amp;"ínez,Isabel Gómez,Luis Rodríguez,Natalia Díaz,Daniel Flores,Sergio Gómez,Raúl Hernández,Sergio Hernández,Diego García,Daniel Pérez,Fernando Morales,Alejandro Torres,Alejandro Ramírez,Raúl Rodríguez,Diego Navarro,Andrés Sánchez,Manuel Morales,Alejandro Sán"&amp;"chez,Patricia Díaz,David Torres,Fernando Romero,Fernando Rivera,Isabel Ortiz,Lucía Sánchez,Carolina Flores,Sofía Morales,María Ortiz,natalia sánchez,Camila Díaz,Sofía Vargas,Luis Flores,Valeria Romero,Lucía García,María Sánchez,Patricia Rodríguez,Natalia "&amp;"Rodríguez,María Rodríguez,Ricardo Morales,Patricia Castro,Andrés Morales,Fernando Díaz,Carlos Pérez,Javier Flores,Isabel Hernández,Paula Castro,Carlos López,elena torres,Camila Hernández,Elena Vargas,Andrés Gómez,Laura Martínez,David Ortiz,Camila González"&amp;",RICARDO LÓPEZ,Carolina Ortiz,Fernando Ramírez,  Marta Rivera  ,Isabel Rivera,Sergio García,Manuel Rodríguez,David Rodríguez,Daniel Díaz,Luis Morales,Ana García,Carlos Martínez,Laura Gómez,Isabel González,Laura Rivera,Ana Flores,Valeria Castro,LUIS GONZÁL"&amp;"EZ,David González,Carolina García,SERGIO NAVARRO,Javier Navarro,CAROLINA NAVARRO,José Gómez,David Navarro,Patricia Vargas,Ana López,Valeria García,Manuel Castro,Miguel Castro,Ana Hernández,miguel ramírez,Alejandro Morales,David Flores,Ana Ortiz,Paula Lópe"&amp;"z,  Carolina Rivera  ,Andrés González,Manuel Vargas,Raúl Vargas,Luis Hernández,  Lucía Vargas  ,Lucía Díaz,Daniel Gómez,Elena Morales,Diego Hernández,Sofía López,SOFÍA DÍAZ,Paula Flores,Manuel Rivera,David Sánchez,José Martínez,Raúl Sánchez,  Paula Castro"&amp;"  ,MIGUEL LÓPEZ,Carlos Morales,María Morales,LUCÍA ORTIZ,Fernando Flores,manuel rodríguez,Daniel Sánchez,Ricardo Torres,Lucía Flores,Gabriela Ramírez,José Castro,Andrés Romero,LUIS FLORES,David Romero,manuel gómez,Laura Torres,Daniel Ramírez,Manuel Martín"&amp;"ez,Miguel Sánchez,Raúl Pérez,Lucía Romero,ALEJANDRO GONZÁLEZ,Andrés Castro,Manuel Sánchez,Ana Castro,Patricia Rivera,Valeria Vargas,Isabel Castro,Fernando Vargas,maría gómez,Carlos Hernández,Sergio Sánchez,Paula García,Isabel Torres,Luis Romero,Javier Var"&amp;"gas,david vargas,Diego Castro,Lucía Castro,Luis López,Elena Díaz,Miguel Martínez,Lucía Rodríguez, Carlos Pérez , Valeria Rivera , Javier Navarro , Valeria Romero , Camila Torres "</formula1>
    </dataValidation>
    <dataValidation type="custom" allowBlank="1" showDropDown="1" sqref="J2:J201">
      <formula1>AND(ISNUMBER(J2),(NOT(OR(NOT(ISERROR(DATEVALUE(J2))), AND(ISNUMBER(J2), LEFT(CELL("format", J2))="D")))))</formula1>
    </dataValidation>
    <dataValidation type="list" allowBlank="1" showDropDown="1" showErrorMessage="1" sqref="H2:H201">
      <formula1>"Document Processing,Workflow Automation,AI Voice Agent,Data Automation,Website Chat Agent"</formula1>
    </dataValidation>
    <dataValidation type="list" allowBlank="1" showDropDown="1" showErrorMessage="1" sqref="E2:E201">
      <formula1>"Apex Studio,Green Studio,Momentum Services,Sol Partners, Bright Partners,Digital Studio,CLOUD SOLUTIONS,Vision Solutions,Nova Commerce,Momentum Studio,Nexo Group,Apex Services,Sol Solutions,Vision Partners,Nova Partners,Apex Solutions,Apex Consulting,Atla"&amp;"s Consulting, Prime Group,Urban Commerce,Sol Commerce,Vertex Solutions,MOMENTUM SERVICES,Vision Services,Bright Solutions,Prime Labs,Cloud Commerce,Blue Studio,Blue Services,Urban Works,Sol Labs,Vertex Labs,Bright Commerce,Apex Labs,Momentum Works,Cloud L"&amp;"abs,Prime Media,Blue Media,Green Services,Nexo Services,Momentum Solutions,Nova Solutions,Nexo Solutions,Vertex Services,Digital Media,Cloud Media,Nova Studio,Bright Services,Atlas Labs,Bright Works,Nova Group,Apex Partners,Vision Media,Prime Group,Bright"&amp;" Studio,Vision Commerce,Sol Works,Green Labs,Apex Commerce,Digital Labs,Urban Solutions,Momentum Commerce,Digital Services,Blue Partners,Vision Consulting,Urban Consulting,Sol Media,Prime Studio,Green Works,Nexo Commerce,Momentum Group,Vertex Media,Nova C"&amp;"onsulting,Vertex Consulting,Bright Media,Urban Media,Apex Group,Bright Labs,Nova Works,NOVA LABS, Momentum Works,Green Partners,Blue Group,BLUE GROUP, Nexo Works,Vision Studio,Urban Services,Atlas Commerce,Vision Labs,Prime Commerce,Sol Consulting,Nexo La"&amp;"bs,Green Consulting,Cloud Group,Vision Works,Nova Services,Digital Group,Atlas Partners,Digital Partners,Momentum Partners,Cloud Partners,Prime Consulting,Green Solutions,Nova Labs,Blue Works,Blue Solutions,Nova Media,Nexo Studio,Blue Consulting,Vision Gr"&amp;"oup,Prime Partners,Urban Labs,Bright Group,Green Commerce"</formula1>
    </dataValidation>
    <dataValidation type="list" allowBlank="1" showDropDown="1" showErrorMessage="1" sqref="F2:F201">
      <formula1>"CHILE,United States,El Salvador,ARGENTINA,peru,chile,U.S.A.,el salvador,spain,PERU,Argentina,Perú,EL SALVADOR,argentina,colombia,Peru,Mexico,México,Salvador,COLOMBIA,united states,Chile,Colombia,MEXICO,Spain,US,USA,SPAIN,mexico,España,Espana"</formula1>
    </dataValidation>
  </dataValidations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9"/>
    <hyperlink r:id="rId28" ref="C30"/>
    <hyperlink r:id="rId29" ref="C31"/>
    <hyperlink r:id="rId30" ref="C32"/>
    <hyperlink r:id="rId31" ref="C33"/>
    <hyperlink r:id="rId32" ref="C34"/>
    <hyperlink r:id="rId33" ref="C35"/>
    <hyperlink r:id="rId34" ref="C36"/>
    <hyperlink r:id="rId35" ref="C37"/>
    <hyperlink r:id="rId36" ref="C38"/>
    <hyperlink r:id="rId37" ref="C39"/>
    <hyperlink r:id="rId38" ref="C40"/>
    <hyperlink r:id="rId39" ref="C41"/>
    <hyperlink r:id="rId40" ref="C43"/>
    <hyperlink r:id="rId41" ref="C44"/>
    <hyperlink r:id="rId42" ref="C45"/>
    <hyperlink r:id="rId43" ref="C46"/>
    <hyperlink r:id="rId44" ref="C47"/>
    <hyperlink r:id="rId45" ref="C48"/>
    <hyperlink r:id="rId46" ref="C49"/>
    <hyperlink r:id="rId47" ref="C50"/>
    <hyperlink r:id="rId48" ref="C51"/>
    <hyperlink r:id="rId49" ref="C52"/>
    <hyperlink r:id="rId50" ref="C53"/>
    <hyperlink r:id="rId51" ref="C54"/>
    <hyperlink r:id="rId52" ref="C55"/>
    <hyperlink r:id="rId53" ref="C56"/>
    <hyperlink r:id="rId54" ref="C57"/>
    <hyperlink r:id="rId55" ref="C58"/>
    <hyperlink r:id="rId56" ref="C59"/>
    <hyperlink r:id="rId57" ref="C60"/>
    <hyperlink r:id="rId58" ref="C61"/>
    <hyperlink r:id="rId59" ref="C63"/>
    <hyperlink r:id="rId60" ref="C64"/>
    <hyperlink r:id="rId61" ref="C66"/>
    <hyperlink r:id="rId62" ref="C67"/>
    <hyperlink r:id="rId63" ref="C68"/>
    <hyperlink r:id="rId64" ref="C69"/>
    <hyperlink r:id="rId65" ref="C70"/>
    <hyperlink r:id="rId66" ref="C71"/>
    <hyperlink r:id="rId67" ref="C72"/>
    <hyperlink r:id="rId68" ref="C73"/>
    <hyperlink r:id="rId69" ref="C74"/>
    <hyperlink r:id="rId70" ref="C75"/>
    <hyperlink r:id="rId71" ref="C76"/>
    <hyperlink r:id="rId72" ref="C77"/>
    <hyperlink r:id="rId73" ref="C78"/>
    <hyperlink r:id="rId74" ref="C79"/>
    <hyperlink r:id="rId75" ref="C80"/>
    <hyperlink r:id="rId76" ref="C81"/>
    <hyperlink r:id="rId77" ref="C82"/>
    <hyperlink r:id="rId78" ref="C83"/>
    <hyperlink r:id="rId79" ref="C84"/>
    <hyperlink r:id="rId80" ref="C85"/>
    <hyperlink r:id="rId81" ref="C87"/>
    <hyperlink r:id="rId82" ref="C88"/>
    <hyperlink r:id="rId83" ref="C89"/>
    <hyperlink r:id="rId84" ref="C90"/>
    <hyperlink r:id="rId85" ref="C91"/>
    <hyperlink r:id="rId86" ref="C92"/>
    <hyperlink r:id="rId87" ref="C93"/>
    <hyperlink r:id="rId88" ref="C94"/>
    <hyperlink r:id="rId89" ref="C95"/>
    <hyperlink r:id="rId90" ref="C96"/>
    <hyperlink r:id="rId91" ref="C97"/>
    <hyperlink r:id="rId92" ref="C98"/>
    <hyperlink r:id="rId93" ref="C100"/>
    <hyperlink r:id="rId94" ref="C101"/>
    <hyperlink r:id="rId95" ref="C102"/>
    <hyperlink r:id="rId96" ref="C103"/>
    <hyperlink r:id="rId97" ref="C104"/>
    <hyperlink r:id="rId98" ref="C105"/>
    <hyperlink r:id="rId99" ref="C106"/>
    <hyperlink r:id="rId100" ref="C107"/>
    <hyperlink r:id="rId101" ref="C108"/>
    <hyperlink r:id="rId102" ref="C109"/>
    <hyperlink r:id="rId103" ref="C110"/>
    <hyperlink r:id="rId104" ref="C111"/>
    <hyperlink r:id="rId105" ref="C112"/>
    <hyperlink r:id="rId106" ref="C113"/>
    <hyperlink r:id="rId107" ref="C114"/>
    <hyperlink r:id="rId108" ref="C116"/>
    <hyperlink r:id="rId109" ref="C117"/>
    <hyperlink r:id="rId110" ref="C118"/>
    <hyperlink r:id="rId111" ref="C119"/>
    <hyperlink r:id="rId112" ref="C120"/>
    <hyperlink r:id="rId113" ref="C121"/>
    <hyperlink r:id="rId114" ref="C122"/>
    <hyperlink r:id="rId115" ref="C123"/>
    <hyperlink r:id="rId116" ref="C124"/>
    <hyperlink r:id="rId117" ref="C126"/>
    <hyperlink r:id="rId118" ref="C127"/>
    <hyperlink r:id="rId119" ref="C128"/>
    <hyperlink r:id="rId120" ref="C129"/>
    <hyperlink r:id="rId121" ref="C130"/>
    <hyperlink r:id="rId122" ref="C131"/>
    <hyperlink r:id="rId123" ref="C132"/>
    <hyperlink r:id="rId124" ref="C133"/>
    <hyperlink r:id="rId125" ref="C134"/>
    <hyperlink r:id="rId126" ref="C135"/>
    <hyperlink r:id="rId127" ref="C136"/>
    <hyperlink r:id="rId128" ref="C137"/>
    <hyperlink r:id="rId129" ref="C138"/>
    <hyperlink r:id="rId130" ref="C139"/>
    <hyperlink r:id="rId131" ref="C141"/>
    <hyperlink r:id="rId132" ref="C142"/>
    <hyperlink r:id="rId133" ref="C143"/>
    <hyperlink r:id="rId134" ref="C144"/>
    <hyperlink r:id="rId135" ref="C145"/>
    <hyperlink r:id="rId136" ref="C148"/>
    <hyperlink r:id="rId137" ref="C149"/>
    <hyperlink r:id="rId138" ref="C150"/>
    <hyperlink r:id="rId139" ref="C151"/>
    <hyperlink r:id="rId140" ref="C152"/>
    <hyperlink r:id="rId141" ref="C153"/>
    <hyperlink r:id="rId142" ref="C154"/>
    <hyperlink r:id="rId143" ref="C155"/>
    <hyperlink r:id="rId144" ref="C156"/>
    <hyperlink r:id="rId145" ref="C157"/>
    <hyperlink r:id="rId146" ref="C158"/>
    <hyperlink r:id="rId147" ref="C159"/>
    <hyperlink r:id="rId148" ref="C160"/>
    <hyperlink r:id="rId149" ref="C161"/>
    <hyperlink r:id="rId150" ref="C162"/>
    <hyperlink r:id="rId151" ref="C164"/>
    <hyperlink r:id="rId152" ref="C165"/>
    <hyperlink r:id="rId153" ref="C166"/>
    <hyperlink r:id="rId154" ref="C167"/>
    <hyperlink r:id="rId155" ref="C168"/>
    <hyperlink r:id="rId156" ref="C169"/>
    <hyperlink r:id="rId157" ref="C170"/>
    <hyperlink r:id="rId158" ref="C171"/>
    <hyperlink r:id="rId159" ref="C172"/>
    <hyperlink r:id="rId160" ref="C174"/>
    <hyperlink r:id="rId161" ref="C175"/>
    <hyperlink r:id="rId162" ref="C176"/>
    <hyperlink r:id="rId163" ref="C177"/>
    <hyperlink r:id="rId164" ref="C178"/>
    <hyperlink r:id="rId165" ref="C179"/>
    <hyperlink r:id="rId166" ref="C180"/>
    <hyperlink r:id="rId167" ref="C181"/>
    <hyperlink r:id="rId168" ref="C182"/>
    <hyperlink r:id="rId169" ref="C183"/>
    <hyperlink r:id="rId170" ref="C184"/>
    <hyperlink r:id="rId171" ref="C185"/>
    <hyperlink r:id="rId172" ref="C186"/>
    <hyperlink r:id="rId173" ref="C188"/>
    <hyperlink r:id="rId174" ref="C189"/>
    <hyperlink r:id="rId175" ref="C190"/>
    <hyperlink r:id="rId176" ref="C191"/>
    <hyperlink r:id="rId177" ref="C192"/>
    <hyperlink r:id="rId178" ref="C193"/>
    <hyperlink r:id="rId179" ref="C194"/>
    <hyperlink r:id="rId180" ref="C195"/>
    <hyperlink r:id="rId181" ref="C196"/>
    <hyperlink r:id="rId182" ref="C198"/>
    <hyperlink r:id="rId183" ref="C199"/>
    <hyperlink r:id="rId184" ref="C200"/>
    <hyperlink r:id="rId185" ref="C201"/>
  </hyperlinks>
  <printOptions/>
  <pageMargins bottom="0.75" footer="0.0" header="0.0" left="0.7" right="0.7" top="0.75"/>
  <pageSetup orientation="landscape"/>
  <drawing r:id="rId186"/>
  <tableParts count="1">
    <tablePart r:id="rId188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3.0"/>
    <col customWidth="1" min="2" max="2" width="22.0"/>
    <col customWidth="1" min="3" max="3" width="30.0"/>
    <col customWidth="1" min="4" max="4" width="20.0"/>
    <col customWidth="1" min="5" max="5" width="25.38"/>
    <col customWidth="1" min="6" max="6" width="43.88"/>
    <col customWidth="1" min="7" max="7" width="20.0"/>
    <col customWidth="1" min="8" max="8" width="31.25"/>
    <col customWidth="1" min="9" max="10" width="20.0"/>
    <col customWidth="1" min="11" max="11" width="24.0"/>
    <col customWidth="1" min="12" max="14" width="18.0"/>
    <col customWidth="1" min="15" max="15" width="22.0"/>
    <col customWidth="1" min="16" max="17" width="18.0"/>
    <col customWidth="1" min="18" max="18" width="20.0"/>
    <col customWidth="1" min="19" max="19" width="15.0"/>
    <col customWidth="1" min="20" max="20" width="18.0"/>
    <col customWidth="1" min="21" max="21" width="26.0"/>
    <col customWidth="1" min="22" max="22" width="30.5"/>
    <col customWidth="1" min="23" max="34" width="8.63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1" t="s">
        <v>9</v>
      </c>
      <c r="K1" s="1" t="s">
        <v>10</v>
      </c>
      <c r="L1" s="1" t="s">
        <v>11</v>
      </c>
      <c r="M1" s="3" t="s">
        <v>12</v>
      </c>
      <c r="N1" s="1" t="s">
        <v>13</v>
      </c>
      <c r="O1" s="1" t="s">
        <v>14</v>
      </c>
      <c r="P1" s="1" t="s">
        <v>15</v>
      </c>
      <c r="Q1" s="2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>
      <c r="A2" s="4" t="s">
        <v>21</v>
      </c>
      <c r="B2" s="4" t="s">
        <v>22</v>
      </c>
      <c r="C2" s="4" t="s">
        <v>23</v>
      </c>
      <c r="D2" s="4" t="str">
        <f t="shared" ref="D2:D201" si="1">LOWER(TRIM(C2))</f>
        <v>alejandro.navarro94@company.com</v>
      </c>
      <c r="G2" s="4" t="str">
        <f t="shared" ref="G2:G201" si="2">IF(D2="","Missing Email",IF(COUNTIF($D$2:$D$201,D2)&gt;1,"Duplicate","Unique"))</f>
        <v>Unique</v>
      </c>
      <c r="I2" s="4" t="str">
        <f>IFERROR(__xludf.DUMMYFUNCTION("IF(C2="""",""Missing"",IF(REGEXMATCH(C2,""^[^@\s]+@[^@\s]+\.[^@\s]+$""),""Valid"",""Invalid""))"),"Valid")</f>
        <v>Valid</v>
      </c>
      <c r="J2" s="4" t="s">
        <v>24</v>
      </c>
      <c r="K2" s="4" t="s">
        <v>25</v>
      </c>
      <c r="L2" s="4" t="s">
        <v>26</v>
      </c>
      <c r="M2" s="4" t="str">
        <f t="shared" ref="M2:M201" si="3">IF(L2="","",IF(OR(LOWER(TRIM(L2))="u.s.a.",LOWER(TRIM(L2))="united states"),"United States",IF(OR(LOWER(TRIM(L2))="spain",LOWER(TRIM(L2))="españa",LOWER(TRIM(L2))="espana"),"Spain",IF(OR(LOWER(TRIM(L2))="mexico",LOWER(TRIM(L2))="méxico"),"Mexico",PROPER(LOWER(TRIM(L2)))))))</f>
        <v>Chile</v>
      </c>
      <c r="N2" s="4" t="s">
        <v>27</v>
      </c>
      <c r="O2" s="4" t="s">
        <v>28</v>
      </c>
      <c r="P2" s="4" t="s">
        <v>29</v>
      </c>
      <c r="Q2" s="4" t="str">
        <f t="shared" ref="Q2:Q199" si="4">IF(P2="","",PROPER(LOWER(TRIM(P2))))</f>
        <v>Contacted</v>
      </c>
      <c r="R2" s="9"/>
      <c r="S2" s="10">
        <v>46111.0</v>
      </c>
      <c r="T2" s="10">
        <v>46153.0</v>
      </c>
      <c r="U2" s="4" t="s">
        <v>30</v>
      </c>
      <c r="V2" s="11" t="s">
        <v>31</v>
      </c>
      <c r="W2" s="11" t="s">
        <v>32</v>
      </c>
    </row>
    <row r="3">
      <c r="A3" s="4" t="s">
        <v>33</v>
      </c>
      <c r="B3" s="4" t="s">
        <v>34</v>
      </c>
      <c r="C3" s="4" t="s">
        <v>35</v>
      </c>
      <c r="D3" s="4" t="str">
        <f t="shared" si="1"/>
        <v>camila.gonzalez86@mail.com</v>
      </c>
      <c r="G3" s="4" t="str">
        <f t="shared" si="2"/>
        <v>Duplicate</v>
      </c>
      <c r="I3" s="4" t="str">
        <f>IFERROR(__xludf.DUMMYFUNCTION("IF(C3="""",""Missing"",IF(REGEXMATCH(C3,""^[^@\s]+@[^@\s]+\.[^@\s]+$""),""Valid"",""Invalid""))"),"Valid")</f>
        <v>Valid</v>
      </c>
      <c r="J3" s="4" t="s">
        <v>36</v>
      </c>
      <c r="K3" s="4" t="s">
        <v>37</v>
      </c>
      <c r="L3" s="4" t="s">
        <v>38</v>
      </c>
      <c r="M3" s="4" t="str">
        <f t="shared" si="3"/>
        <v>Chile</v>
      </c>
      <c r="N3" s="4" t="s">
        <v>39</v>
      </c>
      <c r="O3" s="4" t="s">
        <v>40</v>
      </c>
      <c r="P3" s="4" t="s">
        <v>29</v>
      </c>
      <c r="Q3" s="4" t="str">
        <f t="shared" si="4"/>
        <v>Contacted</v>
      </c>
      <c r="R3" s="9">
        <v>3000.0</v>
      </c>
      <c r="S3" s="10">
        <v>46088.0</v>
      </c>
      <c r="T3" s="10">
        <v>46113.0</v>
      </c>
      <c r="U3" s="4" t="s">
        <v>41</v>
      </c>
    </row>
    <row r="4">
      <c r="A4" s="4" t="s">
        <v>42</v>
      </c>
      <c r="B4" s="4" t="s">
        <v>43</v>
      </c>
      <c r="C4" s="4" t="s">
        <v>44</v>
      </c>
      <c r="D4" s="4" t="str">
        <f t="shared" si="1"/>
        <v>carlos.navarro11@mail.com</v>
      </c>
      <c r="G4" s="4" t="str">
        <f t="shared" si="2"/>
        <v>Unique</v>
      </c>
      <c r="I4" s="4" t="str">
        <f>IFERROR(__xludf.DUMMYFUNCTION("IF(C4="""",""Missing"",IF(REGEXMATCH(C4,""^[^@\s]+@[^@\s]+\.[^@\s]+$""),""Valid"",""Invalid""))"),"Valid")</f>
        <v>Valid</v>
      </c>
      <c r="J4" s="4" t="s">
        <v>45</v>
      </c>
      <c r="K4" s="4" t="s">
        <v>46</v>
      </c>
      <c r="L4" s="4" t="s">
        <v>47</v>
      </c>
      <c r="M4" s="4" t="str">
        <f t="shared" si="3"/>
        <v>El Salvador</v>
      </c>
      <c r="N4" s="4" t="s">
        <v>48</v>
      </c>
      <c r="O4" s="4" t="s">
        <v>49</v>
      </c>
      <c r="P4" s="4" t="s">
        <v>50</v>
      </c>
      <c r="Q4" s="4" t="str">
        <f t="shared" si="4"/>
        <v>New</v>
      </c>
      <c r="R4" s="9">
        <v>500.0</v>
      </c>
      <c r="S4" s="10">
        <v>46101.0</v>
      </c>
      <c r="T4" s="10"/>
    </row>
    <row r="5">
      <c r="A5" s="4" t="s">
        <v>51</v>
      </c>
      <c r="B5" s="4" t="s">
        <v>52</v>
      </c>
      <c r="C5" s="4" t="s">
        <v>53</v>
      </c>
      <c r="D5" s="4" t="str">
        <f t="shared" si="1"/>
        <v>maria.gonzalez3@outlook.com</v>
      </c>
      <c r="G5" s="4" t="str">
        <f t="shared" si="2"/>
        <v>Unique</v>
      </c>
      <c r="I5" s="4" t="str">
        <f>IFERROR(__xludf.DUMMYFUNCTION("IF(C5="""",""Missing"",IF(REGEXMATCH(C5,""^[^@\s]+@[^@\s]+\.[^@\s]+$""),""Valid"",""Invalid""))"),"Valid")</f>
        <v>Valid</v>
      </c>
      <c r="J5" s="4" t="s">
        <v>54</v>
      </c>
      <c r="K5" s="4" t="s">
        <v>55</v>
      </c>
      <c r="L5" s="4" t="s">
        <v>56</v>
      </c>
      <c r="M5" s="4" t="str">
        <f t="shared" si="3"/>
        <v>Argentina</v>
      </c>
      <c r="N5" s="4" t="s">
        <v>57</v>
      </c>
      <c r="O5" s="4" t="s">
        <v>49</v>
      </c>
      <c r="P5" s="4" t="s">
        <v>58</v>
      </c>
      <c r="Q5" s="4" t="str">
        <f t="shared" si="4"/>
        <v>Lost</v>
      </c>
      <c r="R5" s="9">
        <v>1500.0</v>
      </c>
      <c r="S5" s="10">
        <v>46215.0</v>
      </c>
      <c r="T5" s="10">
        <v>46244.0</v>
      </c>
      <c r="U5" s="4" t="s">
        <v>30</v>
      </c>
    </row>
    <row r="6">
      <c r="A6" s="4" t="s">
        <v>59</v>
      </c>
      <c r="B6" s="4" t="s">
        <v>60</v>
      </c>
      <c r="C6" s="4" t="s">
        <v>61</v>
      </c>
      <c r="D6" s="4" t="str">
        <f t="shared" si="1"/>
        <v>carolina.navarro41@gmail.com</v>
      </c>
      <c r="G6" s="4" t="str">
        <f t="shared" si="2"/>
        <v>Unique</v>
      </c>
      <c r="I6" s="4" t="str">
        <f>IFERROR(__xludf.DUMMYFUNCTION("IF(C6="""",""Missing"",IF(REGEXMATCH(C6,""^[^@\s]+@[^@\s]+\.[^@\s]+$""),""Valid"",""Invalid""))"),"Valid")</f>
        <v>Valid</v>
      </c>
      <c r="J6" s="4" t="s">
        <v>62</v>
      </c>
      <c r="K6" s="4" t="s">
        <v>63</v>
      </c>
      <c r="L6" s="4" t="s">
        <v>64</v>
      </c>
      <c r="M6" s="4" t="str">
        <f t="shared" si="3"/>
        <v>Peru</v>
      </c>
      <c r="N6" s="4" t="s">
        <v>48</v>
      </c>
      <c r="O6" s="4" t="s">
        <v>49</v>
      </c>
      <c r="P6" s="4" t="s">
        <v>65</v>
      </c>
      <c r="Q6" s="4" t="str">
        <f t="shared" si="4"/>
        <v>Won</v>
      </c>
      <c r="R6" s="9">
        <v>350.0</v>
      </c>
      <c r="S6" s="10">
        <v>46174.0</v>
      </c>
      <c r="T6" s="10">
        <v>46191.0</v>
      </c>
      <c r="U6" s="4" t="s">
        <v>66</v>
      </c>
      <c r="V6" s="11" t="s">
        <v>67</v>
      </c>
    </row>
    <row r="7">
      <c r="A7" s="4" t="s">
        <v>68</v>
      </c>
      <c r="B7" s="4" t="s">
        <v>34</v>
      </c>
      <c r="C7" s="4" t="s">
        <v>35</v>
      </c>
      <c r="D7" s="4" t="str">
        <f t="shared" si="1"/>
        <v>camila.gonzalez86@mail.com</v>
      </c>
      <c r="G7" s="4" t="str">
        <f t="shared" si="2"/>
        <v>Duplicate</v>
      </c>
      <c r="H7" s="11" t="s">
        <v>69</v>
      </c>
      <c r="I7" s="4" t="str">
        <f>IFERROR(__xludf.DUMMYFUNCTION("IF(C7="""",""Missing"",IF(REGEXMATCH(C7,""^[^@\s]+@[^@\s]+\.[^@\s]+$""),""Valid"",""Invalid""))"),"Valid")</f>
        <v>Valid</v>
      </c>
      <c r="J7" s="4" t="s">
        <v>36</v>
      </c>
      <c r="K7" s="4" t="s">
        <v>37</v>
      </c>
      <c r="L7" s="4" t="s">
        <v>38</v>
      </c>
      <c r="M7" s="4" t="str">
        <f t="shared" si="3"/>
        <v>Chile</v>
      </c>
      <c r="N7" s="4" t="s">
        <v>39</v>
      </c>
      <c r="O7" s="4" t="s">
        <v>40</v>
      </c>
      <c r="P7" s="4" t="s">
        <v>29</v>
      </c>
      <c r="Q7" s="4" t="str">
        <f t="shared" si="4"/>
        <v>Contacted</v>
      </c>
      <c r="R7" s="9">
        <v>3000.0</v>
      </c>
      <c r="S7" s="10">
        <v>46088.0</v>
      </c>
      <c r="T7" s="10">
        <v>46113.0</v>
      </c>
      <c r="U7" s="4" t="s">
        <v>41</v>
      </c>
    </row>
    <row r="8">
      <c r="A8" s="4" t="s">
        <v>70</v>
      </c>
      <c r="B8" s="4" t="s">
        <v>71</v>
      </c>
      <c r="C8" s="4" t="s">
        <v>72</v>
      </c>
      <c r="D8" s="4" t="str">
        <f t="shared" si="1"/>
        <v>maria.rivera61@outlook.com</v>
      </c>
      <c r="G8" s="4" t="str">
        <f t="shared" si="2"/>
        <v>Unique</v>
      </c>
      <c r="I8" s="4" t="str">
        <f>IFERROR(__xludf.DUMMYFUNCTION("IF(C8="""",""Missing"",IF(REGEXMATCH(C8,""^[^@\s]+@[^@\s]+\.[^@\s]+$""),""Valid"",""Invalid""))"),"Valid")</f>
        <v>Valid</v>
      </c>
      <c r="J8" s="4" t="s">
        <v>73</v>
      </c>
      <c r="K8" s="4" t="s">
        <v>74</v>
      </c>
      <c r="L8" s="4" t="s">
        <v>75</v>
      </c>
      <c r="M8" s="4" t="str">
        <f t="shared" si="3"/>
        <v>United States</v>
      </c>
      <c r="N8" s="4" t="s">
        <v>39</v>
      </c>
      <c r="O8" s="4" t="s">
        <v>76</v>
      </c>
      <c r="P8" s="4" t="s">
        <v>77</v>
      </c>
      <c r="Q8" s="4" t="str">
        <f t="shared" si="4"/>
        <v>Proposal Sent</v>
      </c>
      <c r="R8" s="9">
        <v>500.0</v>
      </c>
      <c r="S8" s="10">
        <v>46052.0</v>
      </c>
      <c r="T8" s="10">
        <v>46087.0</v>
      </c>
      <c r="U8" s="4" t="s">
        <v>41</v>
      </c>
      <c r="V8" s="11" t="s">
        <v>78</v>
      </c>
    </row>
    <row r="9">
      <c r="A9" s="4" t="s">
        <v>79</v>
      </c>
      <c r="B9" s="4" t="s">
        <v>80</v>
      </c>
      <c r="C9" s="4" t="s">
        <v>81</v>
      </c>
      <c r="D9" s="4" t="str">
        <f t="shared" si="1"/>
        <v>camila.torres47@company.com</v>
      </c>
      <c r="G9" s="4" t="str">
        <f t="shared" si="2"/>
        <v>Duplicate</v>
      </c>
      <c r="I9" s="4" t="str">
        <f>IFERROR(__xludf.DUMMYFUNCTION("IF(C9="""",""Missing"",IF(REGEXMATCH(C9,""^[^@\s]+@[^@\s]+\.[^@\s]+$""),""Valid"",""Invalid""))"),"Valid")</f>
        <v>Valid</v>
      </c>
      <c r="L9" s="4" t="s">
        <v>82</v>
      </c>
      <c r="M9" s="4" t="str">
        <f t="shared" si="3"/>
        <v>Spain</v>
      </c>
      <c r="N9" s="4" t="s">
        <v>57</v>
      </c>
      <c r="O9" s="4" t="s">
        <v>40</v>
      </c>
      <c r="P9" s="4" t="s">
        <v>77</v>
      </c>
      <c r="Q9" s="4" t="str">
        <f t="shared" si="4"/>
        <v>Proposal Sent</v>
      </c>
      <c r="R9" s="9">
        <v>1500.0</v>
      </c>
      <c r="S9" s="10">
        <v>46030.0</v>
      </c>
      <c r="T9" s="10">
        <v>46043.0</v>
      </c>
      <c r="U9" s="4" t="s">
        <v>30</v>
      </c>
    </row>
    <row r="10">
      <c r="A10" s="4" t="s">
        <v>83</v>
      </c>
      <c r="B10" s="4" t="s">
        <v>84</v>
      </c>
      <c r="C10" s="4" t="s">
        <v>85</v>
      </c>
      <c r="D10" s="4" t="str">
        <f t="shared" si="1"/>
        <v>miguel.rodriguez72@outlook.com</v>
      </c>
      <c r="G10" s="4" t="str">
        <f t="shared" si="2"/>
        <v>Unique</v>
      </c>
      <c r="I10" s="4" t="str">
        <f>IFERROR(__xludf.DUMMYFUNCTION("IF(C10="""",""Missing"",IF(REGEXMATCH(C10,""^[^@\s]+@[^@\s]+\.[^@\s]+$""),""Valid"",""Invalid""))"),"Valid")</f>
        <v>Valid</v>
      </c>
      <c r="J10" s="4" t="s">
        <v>86</v>
      </c>
      <c r="K10" s="4" t="s">
        <v>87</v>
      </c>
      <c r="L10" s="4" t="s">
        <v>88</v>
      </c>
      <c r="M10" s="4" t="str">
        <f t="shared" si="3"/>
        <v>El Salvador</v>
      </c>
      <c r="N10" s="4" t="s">
        <v>27</v>
      </c>
      <c r="O10" s="4" t="s">
        <v>28</v>
      </c>
      <c r="P10" s="4" t="s">
        <v>29</v>
      </c>
      <c r="Q10" s="4" t="str">
        <f t="shared" si="4"/>
        <v>Contacted</v>
      </c>
      <c r="R10" s="9">
        <v>1500.0</v>
      </c>
      <c r="S10" s="10">
        <v>46095.0</v>
      </c>
      <c r="T10" s="10">
        <v>46129.0</v>
      </c>
      <c r="U10" s="4" t="s">
        <v>41</v>
      </c>
      <c r="V10" s="11" t="s">
        <v>89</v>
      </c>
    </row>
    <row r="11">
      <c r="A11" s="4" t="s">
        <v>90</v>
      </c>
      <c r="B11" s="4" t="s">
        <v>91</v>
      </c>
      <c r="C11" s="4" t="s">
        <v>92</v>
      </c>
      <c r="D11" s="4" t="str">
        <f t="shared" si="1"/>
        <v>manuel.lopez9@outlook.com</v>
      </c>
      <c r="G11" s="4" t="str">
        <f t="shared" si="2"/>
        <v>Unique</v>
      </c>
      <c r="I11" s="4" t="str">
        <f>IFERROR(__xludf.DUMMYFUNCTION("IF(C11="""",""Missing"",IF(REGEXMATCH(C11,""^[^@\s]+@[^@\s]+\.[^@\s]+$""),""Valid"",""Invalid""))"),"Valid")</f>
        <v>Valid</v>
      </c>
      <c r="J11" s="4" t="s">
        <v>93</v>
      </c>
      <c r="K11" s="4" t="s">
        <v>94</v>
      </c>
      <c r="L11" s="4" t="s">
        <v>56</v>
      </c>
      <c r="M11" s="4" t="str">
        <f t="shared" si="3"/>
        <v>Argentina</v>
      </c>
      <c r="N11" s="4" t="s">
        <v>57</v>
      </c>
      <c r="O11" s="4" t="s">
        <v>76</v>
      </c>
      <c r="P11" s="4" t="s">
        <v>77</v>
      </c>
      <c r="Q11" s="4" t="str">
        <f t="shared" si="4"/>
        <v>Proposal Sent</v>
      </c>
      <c r="R11" s="9">
        <v>350.0</v>
      </c>
      <c r="S11" s="10">
        <v>46180.0</v>
      </c>
      <c r="T11" s="10">
        <v>46181.0</v>
      </c>
      <c r="U11" s="4" t="s">
        <v>95</v>
      </c>
      <c r="V11" s="4">
        <f>COUNTIF(H2:H201,"REMOVE*")</f>
        <v>9</v>
      </c>
    </row>
    <row r="12">
      <c r="A12" s="4" t="s">
        <v>96</v>
      </c>
      <c r="B12" s="4" t="s">
        <v>97</v>
      </c>
      <c r="C12" s="4" t="s">
        <v>98</v>
      </c>
      <c r="D12" s="4" t="str">
        <f t="shared" si="1"/>
        <v>patricia.perez5@outlook.com</v>
      </c>
      <c r="G12" s="4" t="str">
        <f t="shared" si="2"/>
        <v>Unique</v>
      </c>
      <c r="I12" s="4" t="str">
        <f>IFERROR(__xludf.DUMMYFUNCTION("IF(C12="""",""Missing"",IF(REGEXMATCH(C12,""^[^@\s]+@[^@\s]+\.[^@\s]+$""),""Valid"",""Invalid""))"),"Valid")</f>
        <v>Valid</v>
      </c>
      <c r="J12" s="4" t="s">
        <v>99</v>
      </c>
      <c r="K12" s="4" t="s">
        <v>100</v>
      </c>
      <c r="L12" s="4" t="s">
        <v>82</v>
      </c>
      <c r="M12" s="4" t="str">
        <f t="shared" si="3"/>
        <v>Spain</v>
      </c>
      <c r="N12" s="4" t="s">
        <v>57</v>
      </c>
      <c r="O12" s="4" t="s">
        <v>40</v>
      </c>
      <c r="P12" s="4" t="s">
        <v>77</v>
      </c>
      <c r="Q12" s="4" t="str">
        <f t="shared" si="4"/>
        <v>Proposal Sent</v>
      </c>
      <c r="R12" s="9">
        <v>1200.0</v>
      </c>
      <c r="S12" s="10">
        <v>46160.0</v>
      </c>
      <c r="T12" s="10"/>
      <c r="U12" s="4" t="s">
        <v>66</v>
      </c>
    </row>
    <row r="13">
      <c r="A13" s="4" t="s">
        <v>101</v>
      </c>
      <c r="B13" s="4" t="s">
        <v>102</v>
      </c>
      <c r="C13" s="4" t="s">
        <v>103</v>
      </c>
      <c r="D13" s="4" t="str">
        <f t="shared" si="1"/>
        <v>andres.martinez22@mail.com</v>
      </c>
      <c r="G13" s="4" t="str">
        <f t="shared" si="2"/>
        <v>Unique</v>
      </c>
      <c r="I13" s="4" t="str">
        <f>IFERROR(__xludf.DUMMYFUNCTION("IF(C13="""",""Missing"",IF(REGEXMATCH(C13,""^[^@\s]+@[^@\s]+\.[^@\s]+$""),""Valid"",""Invalid""))"),"Valid")</f>
        <v>Valid</v>
      </c>
      <c r="J13" s="4" t="s">
        <v>104</v>
      </c>
      <c r="K13" s="4" t="s">
        <v>105</v>
      </c>
      <c r="L13" s="4" t="s">
        <v>56</v>
      </c>
      <c r="M13" s="4" t="str">
        <f t="shared" si="3"/>
        <v>Argentina</v>
      </c>
      <c r="N13" s="4" t="s">
        <v>106</v>
      </c>
      <c r="O13" s="4" t="s">
        <v>28</v>
      </c>
      <c r="P13" s="4" t="s">
        <v>58</v>
      </c>
      <c r="Q13" s="4" t="str">
        <f t="shared" si="4"/>
        <v>Lost</v>
      </c>
      <c r="R13" s="9">
        <v>900.0</v>
      </c>
      <c r="S13" s="10">
        <v>46179.0</v>
      </c>
      <c r="T13" s="10">
        <v>46199.0</v>
      </c>
      <c r="U13" s="4" t="s">
        <v>107</v>
      </c>
    </row>
    <row r="14">
      <c r="A14" s="4" t="s">
        <v>108</v>
      </c>
      <c r="B14" s="4" t="s">
        <v>109</v>
      </c>
      <c r="C14" s="4" t="s">
        <v>110</v>
      </c>
      <c r="D14" s="4" t="str">
        <f t="shared" si="1"/>
        <v>natalia.ortiz66@gmail.com</v>
      </c>
      <c r="G14" s="4" t="str">
        <f t="shared" si="2"/>
        <v>Unique</v>
      </c>
      <c r="I14" s="4" t="str">
        <f>IFERROR(__xludf.DUMMYFUNCTION("IF(C14="""",""Missing"",IF(REGEXMATCH(C14,""^[^@\s]+@[^@\s]+\.[^@\s]+$""),""Valid"",""Invalid""))"),"Valid")</f>
        <v>Valid</v>
      </c>
      <c r="J14" s="4" t="s">
        <v>111</v>
      </c>
      <c r="K14" s="4" t="s">
        <v>112</v>
      </c>
      <c r="L14" s="4" t="s">
        <v>56</v>
      </c>
      <c r="M14" s="4" t="str">
        <f t="shared" si="3"/>
        <v>Argentina</v>
      </c>
      <c r="N14" s="4" t="s">
        <v>106</v>
      </c>
      <c r="O14" s="4" t="s">
        <v>76</v>
      </c>
      <c r="P14" s="4" t="s">
        <v>65</v>
      </c>
      <c r="Q14" s="4" t="str">
        <f t="shared" si="4"/>
        <v>Won</v>
      </c>
      <c r="R14" s="9">
        <v>350.0</v>
      </c>
      <c r="S14" s="10">
        <v>46051.0</v>
      </c>
      <c r="T14" s="10">
        <v>46051.0</v>
      </c>
      <c r="U14" s="4" t="s">
        <v>107</v>
      </c>
    </row>
    <row r="15">
      <c r="A15" s="4" t="s">
        <v>113</v>
      </c>
      <c r="B15" s="4" t="s">
        <v>114</v>
      </c>
      <c r="C15" s="4" t="s">
        <v>81</v>
      </c>
      <c r="D15" s="4" t="str">
        <f t="shared" si="1"/>
        <v>camila.torres47@company.com</v>
      </c>
      <c r="G15" s="4" t="str">
        <f t="shared" si="2"/>
        <v>Duplicate</v>
      </c>
      <c r="H15" s="11" t="s">
        <v>69</v>
      </c>
      <c r="I15" s="4" t="str">
        <f>IFERROR(__xludf.DUMMYFUNCTION("IF(C15="""",""Missing"",IF(REGEXMATCH(C15,""^[^@\s]+@[^@\s]+\.[^@\s]+$""),""Valid"",""Invalid""))"),"Valid")</f>
        <v>Valid</v>
      </c>
      <c r="L15" s="4" t="s">
        <v>82</v>
      </c>
      <c r="M15" s="4" t="str">
        <f t="shared" si="3"/>
        <v>Spain</v>
      </c>
      <c r="N15" s="4" t="s">
        <v>57</v>
      </c>
      <c r="O15" s="4" t="s">
        <v>40</v>
      </c>
      <c r="P15" s="4" t="s">
        <v>77</v>
      </c>
      <c r="Q15" s="4" t="str">
        <f t="shared" si="4"/>
        <v>Proposal Sent</v>
      </c>
      <c r="R15" s="9">
        <v>1500.0</v>
      </c>
      <c r="S15" s="10">
        <v>46030.0</v>
      </c>
      <c r="T15" s="10">
        <v>46043.0</v>
      </c>
      <c r="U15" s="4" t="s">
        <v>30</v>
      </c>
    </row>
    <row r="16">
      <c r="A16" s="4" t="s">
        <v>115</v>
      </c>
      <c r="B16" s="4" t="s">
        <v>116</v>
      </c>
      <c r="C16" s="4" t="s">
        <v>117</v>
      </c>
      <c r="D16" s="4" t="str">
        <f t="shared" si="1"/>
        <v>sergio.ortiz49@company.com</v>
      </c>
      <c r="G16" s="4" t="str">
        <f t="shared" si="2"/>
        <v>Unique</v>
      </c>
      <c r="I16" s="4" t="str">
        <f>IFERROR(__xludf.DUMMYFUNCTION("IF(C16="""",""Missing"",IF(REGEXMATCH(C16,""^[^@\s]+@[^@\s]+\.[^@\s]+$""),""Valid"",""Invalid""))"),"Valid")</f>
        <v>Valid</v>
      </c>
      <c r="J16" s="4" t="s">
        <v>118</v>
      </c>
      <c r="K16" s="4" t="s">
        <v>119</v>
      </c>
      <c r="L16" s="4" t="s">
        <v>120</v>
      </c>
      <c r="M16" s="4" t="str">
        <f t="shared" si="3"/>
        <v>United States</v>
      </c>
      <c r="N16" s="4" t="s">
        <v>57</v>
      </c>
      <c r="O16" s="4" t="s">
        <v>28</v>
      </c>
      <c r="P16" s="4" t="s">
        <v>50</v>
      </c>
      <c r="Q16" s="4" t="str">
        <f t="shared" si="4"/>
        <v>New</v>
      </c>
      <c r="R16" s="9">
        <v>2500.0</v>
      </c>
      <c r="S16" s="10">
        <v>46070.0</v>
      </c>
      <c r="T16" s="10">
        <v>46081.0</v>
      </c>
      <c r="U16" s="4" t="s">
        <v>41</v>
      </c>
    </row>
    <row r="17">
      <c r="A17" s="4" t="s">
        <v>121</v>
      </c>
      <c r="B17" s="4" t="s">
        <v>122</v>
      </c>
      <c r="C17" s="4" t="s">
        <v>123</v>
      </c>
      <c r="D17" s="4" t="str">
        <f t="shared" si="1"/>
        <v>javier.diaz69@gmail.com</v>
      </c>
      <c r="G17" s="4" t="str">
        <f t="shared" si="2"/>
        <v>Unique</v>
      </c>
      <c r="I17" s="4" t="str">
        <f>IFERROR(__xludf.DUMMYFUNCTION("IF(C17="""",""Missing"",IF(REGEXMATCH(C17,""^[^@\s]+@[^@\s]+\.[^@\s]+$""),""Valid"",""Invalid""))"),"Valid")</f>
        <v>Valid</v>
      </c>
      <c r="J17" s="4" t="s">
        <v>124</v>
      </c>
      <c r="K17" s="4" t="s">
        <v>125</v>
      </c>
      <c r="L17" s="4" t="s">
        <v>126</v>
      </c>
      <c r="M17" s="4" t="str">
        <f t="shared" si="3"/>
        <v>Peru</v>
      </c>
      <c r="N17" s="4" t="s">
        <v>27</v>
      </c>
      <c r="O17" s="4" t="s">
        <v>28</v>
      </c>
      <c r="P17" s="4" t="s">
        <v>58</v>
      </c>
      <c r="Q17" s="4" t="str">
        <f t="shared" si="4"/>
        <v>Lost</v>
      </c>
      <c r="R17" s="9">
        <v>350.0</v>
      </c>
      <c r="S17" s="10">
        <v>46137.0</v>
      </c>
      <c r="T17" s="10">
        <v>46175.0</v>
      </c>
      <c r="U17" s="4" t="s">
        <v>30</v>
      </c>
    </row>
    <row r="18">
      <c r="A18" s="4" t="s">
        <v>127</v>
      </c>
      <c r="B18" s="4" t="s">
        <v>128</v>
      </c>
      <c r="C18" s="4" t="s">
        <v>129</v>
      </c>
      <c r="D18" s="4" t="str">
        <f t="shared" si="1"/>
        <v>javier.martinez59@mail.com</v>
      </c>
      <c r="G18" s="4" t="str">
        <f t="shared" si="2"/>
        <v>Unique</v>
      </c>
      <c r="I18" s="4" t="str">
        <f>IFERROR(__xludf.DUMMYFUNCTION("IF(C18="""",""Missing"",IF(REGEXMATCH(C18,""^[^@\s]+@[^@\s]+\.[^@\s]+$""),""Valid"",""Invalid""))"),"Valid")</f>
        <v>Valid</v>
      </c>
      <c r="J18" s="4" t="s">
        <v>130</v>
      </c>
      <c r="K18" s="4" t="s">
        <v>131</v>
      </c>
      <c r="L18" s="4" t="s">
        <v>132</v>
      </c>
      <c r="M18" s="4" t="str">
        <f t="shared" si="3"/>
        <v>Argentina</v>
      </c>
      <c r="N18" s="4" t="s">
        <v>133</v>
      </c>
      <c r="O18" s="4" t="s">
        <v>28</v>
      </c>
      <c r="P18" s="4" t="s">
        <v>134</v>
      </c>
      <c r="Q18" s="4" t="str">
        <f t="shared" si="4"/>
        <v>Qualified</v>
      </c>
      <c r="R18" s="9">
        <v>2000.0</v>
      </c>
      <c r="S18" s="10">
        <v>46045.0</v>
      </c>
      <c r="T18" s="10">
        <v>46079.0</v>
      </c>
      <c r="U18" s="4" t="s">
        <v>41</v>
      </c>
    </row>
    <row r="19">
      <c r="A19" s="4" t="s">
        <v>135</v>
      </c>
      <c r="B19" s="4" t="s">
        <v>136</v>
      </c>
      <c r="C19" s="4" t="s">
        <v>137</v>
      </c>
      <c r="D19" s="4" t="str">
        <f t="shared" si="1"/>
        <v>isabel.gomez32@mail.com</v>
      </c>
      <c r="G19" s="4" t="str">
        <f t="shared" si="2"/>
        <v>Unique</v>
      </c>
      <c r="I19" s="4" t="str">
        <f>IFERROR(__xludf.DUMMYFUNCTION("IF(C19="""",""Missing"",IF(REGEXMATCH(C19,""^[^@\s]+@[^@\s]+\.[^@\s]+$""),""Valid"",""Invalid""))"),"Valid")</f>
        <v>Valid</v>
      </c>
      <c r="J19" s="4" t="s">
        <v>138</v>
      </c>
      <c r="K19" s="4" t="s">
        <v>139</v>
      </c>
      <c r="L19" s="4" t="s">
        <v>140</v>
      </c>
      <c r="M19" s="4" t="str">
        <f t="shared" si="3"/>
        <v>Perú</v>
      </c>
      <c r="N19" s="4" t="s">
        <v>57</v>
      </c>
      <c r="O19" s="4" t="s">
        <v>28</v>
      </c>
      <c r="P19" s="4" t="s">
        <v>58</v>
      </c>
      <c r="Q19" s="4" t="str">
        <f t="shared" si="4"/>
        <v>Lost</v>
      </c>
      <c r="R19" s="9">
        <v>4500.0</v>
      </c>
      <c r="S19" s="10">
        <v>46245.0</v>
      </c>
      <c r="T19" s="10">
        <v>46255.0</v>
      </c>
      <c r="U19" s="4" t="s">
        <v>107</v>
      </c>
    </row>
    <row r="20">
      <c r="A20" s="4" t="s">
        <v>141</v>
      </c>
      <c r="B20" s="4" t="s">
        <v>142</v>
      </c>
      <c r="C20" s="4" t="s">
        <v>143</v>
      </c>
      <c r="D20" s="4" t="str">
        <f t="shared" si="1"/>
        <v>luis.rodriguez98@gmail.com</v>
      </c>
      <c r="G20" s="4" t="str">
        <f t="shared" si="2"/>
        <v>Unique</v>
      </c>
      <c r="I20" s="4" t="str">
        <f>IFERROR(__xludf.DUMMYFUNCTION("IF(C20="""",""Missing"",IF(REGEXMATCH(C20,""^[^@\s]+@[^@\s]+\.[^@\s]+$""),""Valid"",""Invalid""))"),"Valid")</f>
        <v>Valid</v>
      </c>
      <c r="J20" s="4" t="s">
        <v>144</v>
      </c>
      <c r="K20" s="4" t="s">
        <v>145</v>
      </c>
      <c r="L20" s="4" t="s">
        <v>126</v>
      </c>
      <c r="M20" s="4" t="str">
        <f t="shared" si="3"/>
        <v>Peru</v>
      </c>
      <c r="N20" s="4" t="s">
        <v>48</v>
      </c>
      <c r="O20" s="4" t="s">
        <v>76</v>
      </c>
      <c r="P20" s="4" t="s">
        <v>50</v>
      </c>
      <c r="Q20" s="4" t="str">
        <f t="shared" si="4"/>
        <v>New</v>
      </c>
      <c r="R20" s="9">
        <v>3000.0</v>
      </c>
      <c r="S20" s="10">
        <v>46037.0</v>
      </c>
      <c r="T20" s="10">
        <v>46053.0</v>
      </c>
      <c r="U20" s="4" t="s">
        <v>95</v>
      </c>
    </row>
    <row r="21" ht="15.75" customHeight="1">
      <c r="A21" s="4" t="s">
        <v>146</v>
      </c>
      <c r="B21" s="4" t="s">
        <v>147</v>
      </c>
      <c r="C21" s="4" t="s">
        <v>148</v>
      </c>
      <c r="D21" s="4" t="str">
        <f t="shared" si="1"/>
        <v>natalia.diaz38@mail.com</v>
      </c>
      <c r="G21" s="4" t="str">
        <f t="shared" si="2"/>
        <v>Unique</v>
      </c>
      <c r="I21" s="4" t="str">
        <f>IFERROR(__xludf.DUMMYFUNCTION("IF(C21="""",""Missing"",IF(REGEXMATCH(C21,""^[^@\s]+@[^@\s]+\.[^@\s]+$""),""Valid"",""Invalid""))"),"Valid")</f>
        <v>Valid</v>
      </c>
      <c r="J21" s="4" t="s">
        <v>149</v>
      </c>
      <c r="K21" s="4" t="s">
        <v>150</v>
      </c>
      <c r="L21" s="4" t="s">
        <v>151</v>
      </c>
      <c r="M21" s="4" t="str">
        <f t="shared" si="3"/>
        <v>El Salvador</v>
      </c>
      <c r="N21" s="4" t="s">
        <v>48</v>
      </c>
      <c r="O21" s="4" t="s">
        <v>28</v>
      </c>
      <c r="P21" s="4" t="s">
        <v>29</v>
      </c>
      <c r="Q21" s="4" t="str">
        <f t="shared" si="4"/>
        <v>Contacted</v>
      </c>
      <c r="R21" s="9">
        <v>1200.0</v>
      </c>
      <c r="S21" s="10">
        <v>46231.0</v>
      </c>
      <c r="T21" s="10">
        <v>46231.0</v>
      </c>
    </row>
    <row r="22" ht="15.75" customHeight="1">
      <c r="A22" s="4" t="s">
        <v>152</v>
      </c>
      <c r="B22" s="4" t="s">
        <v>153</v>
      </c>
      <c r="C22" s="4" t="s">
        <v>154</v>
      </c>
      <c r="D22" s="4" t="str">
        <f t="shared" si="1"/>
        <v>daniel.flores94@outlook.com</v>
      </c>
      <c r="G22" s="4" t="str">
        <f t="shared" si="2"/>
        <v>Unique</v>
      </c>
      <c r="I22" s="4" t="str">
        <f>IFERROR(__xludf.DUMMYFUNCTION("IF(C22="""",""Missing"",IF(REGEXMATCH(C22,""^[^@\s]+@[^@\s]+\.[^@\s]+$""),""Valid"",""Invalid""))"),"Valid")</f>
        <v>Valid</v>
      </c>
      <c r="J22" s="4" t="s">
        <v>155</v>
      </c>
      <c r="K22" s="4" t="s">
        <v>156</v>
      </c>
      <c r="L22" s="4" t="s">
        <v>47</v>
      </c>
      <c r="M22" s="4" t="str">
        <f t="shared" si="3"/>
        <v>El Salvador</v>
      </c>
      <c r="N22" s="4" t="s">
        <v>39</v>
      </c>
      <c r="O22" s="4" t="s">
        <v>76</v>
      </c>
      <c r="P22" s="4" t="s">
        <v>50</v>
      </c>
      <c r="Q22" s="4" t="str">
        <f t="shared" si="4"/>
        <v>New</v>
      </c>
      <c r="R22" s="9">
        <v>500.0</v>
      </c>
      <c r="S22" s="10">
        <v>46232.0</v>
      </c>
      <c r="T22" s="10">
        <v>46263.0</v>
      </c>
      <c r="U22" s="4" t="s">
        <v>95</v>
      </c>
    </row>
    <row r="23" ht="15.75" customHeight="1">
      <c r="A23" s="4" t="s">
        <v>157</v>
      </c>
      <c r="B23" s="4" t="s">
        <v>158</v>
      </c>
      <c r="C23" s="4" t="s">
        <v>159</v>
      </c>
      <c r="D23" s="4" t="str">
        <f t="shared" si="1"/>
        <v>carlos.perez33@gmail.com</v>
      </c>
      <c r="G23" s="4" t="str">
        <f t="shared" si="2"/>
        <v>Duplicate</v>
      </c>
      <c r="I23" s="4" t="str">
        <f>IFERROR(__xludf.DUMMYFUNCTION("IF(C23="""",""Missing"",IF(REGEXMATCH(C23,""^[^@\s]+@[^@\s]+\.[^@\s]+$""),""Valid"",""Invalid""))"),"Valid")</f>
        <v>Valid</v>
      </c>
      <c r="J23" s="4" t="s">
        <v>160</v>
      </c>
      <c r="K23" s="4" t="s">
        <v>161</v>
      </c>
      <c r="L23" s="4" t="s">
        <v>162</v>
      </c>
      <c r="M23" s="4" t="str">
        <f t="shared" si="3"/>
        <v>United States</v>
      </c>
      <c r="N23" s="4" t="s">
        <v>48</v>
      </c>
      <c r="O23" s="4" t="s">
        <v>28</v>
      </c>
      <c r="P23" s="4" t="s">
        <v>134</v>
      </c>
      <c r="Q23" s="4" t="str">
        <f t="shared" si="4"/>
        <v>Qualified</v>
      </c>
      <c r="R23" s="9">
        <v>1500.0</v>
      </c>
      <c r="S23" s="10">
        <v>46253.0</v>
      </c>
      <c r="T23" s="10">
        <v>46275.0</v>
      </c>
      <c r="U23" s="4" t="s">
        <v>66</v>
      </c>
    </row>
    <row r="24" ht="15.75" customHeight="1">
      <c r="A24" s="4" t="s">
        <v>163</v>
      </c>
      <c r="B24" s="4" t="s">
        <v>164</v>
      </c>
      <c r="C24" s="4" t="s">
        <v>165</v>
      </c>
      <c r="D24" s="4" t="str">
        <f t="shared" si="1"/>
        <v>raul.hernandez69@company.com</v>
      </c>
      <c r="G24" s="4" t="str">
        <f t="shared" si="2"/>
        <v>Unique</v>
      </c>
      <c r="I24" s="4" t="str">
        <f>IFERROR(__xludf.DUMMYFUNCTION("IF(C24="""",""Missing"",IF(REGEXMATCH(C24,""^[^@\s]+@[^@\s]+\.[^@\s]+$""),""Valid"",""Invalid""))"),"Valid")</f>
        <v>Valid</v>
      </c>
      <c r="J24" s="4" t="s">
        <v>166</v>
      </c>
      <c r="K24" s="4" t="s">
        <v>167</v>
      </c>
      <c r="L24" s="4" t="s">
        <v>168</v>
      </c>
      <c r="M24" s="4" t="str">
        <f t="shared" si="3"/>
        <v>Argentina</v>
      </c>
      <c r="N24" s="4" t="s">
        <v>27</v>
      </c>
      <c r="O24" s="4" t="s">
        <v>49</v>
      </c>
      <c r="P24" s="4" t="s">
        <v>29</v>
      </c>
      <c r="Q24" s="4" t="str">
        <f t="shared" si="4"/>
        <v>Contacted</v>
      </c>
      <c r="R24" s="9">
        <v>750.0</v>
      </c>
      <c r="S24" s="10">
        <v>46149.0</v>
      </c>
      <c r="T24" s="10">
        <v>46157.0</v>
      </c>
      <c r="U24" s="4" t="s">
        <v>66</v>
      </c>
    </row>
    <row r="25" ht="15.75" customHeight="1">
      <c r="A25" s="4" t="s">
        <v>169</v>
      </c>
      <c r="B25" s="4" t="s">
        <v>170</v>
      </c>
      <c r="C25" s="4" t="s">
        <v>171</v>
      </c>
      <c r="D25" s="4" t="str">
        <f t="shared" si="1"/>
        <v>sergio.hernandez12@outlook.com</v>
      </c>
      <c r="G25" s="4" t="str">
        <f t="shared" si="2"/>
        <v>Unique</v>
      </c>
      <c r="I25" s="4" t="str">
        <f>IFERROR(__xludf.DUMMYFUNCTION("IF(C25="""",""Missing"",IF(REGEXMATCH(C25,""^[^@\s]+@[^@\s]+\.[^@\s]+$""),""Valid"",""Invalid""))"),"Valid")</f>
        <v>Valid</v>
      </c>
      <c r="J25" s="4" t="s">
        <v>172</v>
      </c>
      <c r="K25" s="4" t="s">
        <v>173</v>
      </c>
      <c r="L25" s="4" t="s">
        <v>174</v>
      </c>
      <c r="M25" s="4" t="str">
        <f t="shared" si="3"/>
        <v>Colombia</v>
      </c>
      <c r="N25" s="4" t="s">
        <v>57</v>
      </c>
      <c r="O25" s="4" t="s">
        <v>76</v>
      </c>
      <c r="P25" s="4" t="s">
        <v>65</v>
      </c>
      <c r="Q25" s="4" t="str">
        <f t="shared" si="4"/>
        <v>Won</v>
      </c>
      <c r="R25" s="9">
        <v>2500.0</v>
      </c>
      <c r="S25" s="10">
        <v>46033.0</v>
      </c>
      <c r="T25" s="10">
        <v>46069.0</v>
      </c>
      <c r="U25" s="4" t="s">
        <v>66</v>
      </c>
    </row>
    <row r="26" ht="15.75" customHeight="1">
      <c r="A26" s="4" t="s">
        <v>176</v>
      </c>
      <c r="B26" s="4" t="s">
        <v>177</v>
      </c>
      <c r="C26" s="4" t="s">
        <v>178</v>
      </c>
      <c r="D26" s="4" t="str">
        <f t="shared" si="1"/>
        <v>paula.diaz76@mail.com</v>
      </c>
      <c r="G26" s="4" t="str">
        <f t="shared" si="2"/>
        <v>Unique</v>
      </c>
      <c r="I26" s="4" t="str">
        <f>IFERROR(__xludf.DUMMYFUNCTION("IF(C26="""",""Missing"",IF(REGEXMATCH(C26,""^[^@\s]+@[^@\s]+\.[^@\s]+$""),""Valid"",""Invalid""))"),"Valid")</f>
        <v>Valid</v>
      </c>
      <c r="K26" s="4" t="s">
        <v>179</v>
      </c>
      <c r="L26" s="4" t="s">
        <v>175</v>
      </c>
      <c r="M26" s="4" t="str">
        <f t="shared" si="3"/>
        <v>Peru</v>
      </c>
      <c r="N26" s="4" t="s">
        <v>48</v>
      </c>
      <c r="O26" s="4" t="s">
        <v>40</v>
      </c>
      <c r="P26" s="4" t="s">
        <v>134</v>
      </c>
      <c r="Q26" s="4" t="str">
        <f t="shared" si="4"/>
        <v>Qualified</v>
      </c>
      <c r="R26" s="9">
        <v>4500.0</v>
      </c>
      <c r="S26" s="10">
        <v>46032.0</v>
      </c>
      <c r="T26" s="10">
        <v>46068.0</v>
      </c>
    </row>
    <row r="27" ht="15.75" customHeight="1">
      <c r="A27" s="4" t="s">
        <v>180</v>
      </c>
      <c r="B27" s="4" t="s">
        <v>181</v>
      </c>
      <c r="C27" s="4" t="s">
        <v>182</v>
      </c>
      <c r="D27" s="4" t="str">
        <f t="shared" si="1"/>
        <v>diego.garcia78@gmail.com</v>
      </c>
      <c r="G27" s="4" t="str">
        <f t="shared" si="2"/>
        <v>Unique</v>
      </c>
      <c r="I27" s="4" t="str">
        <f>IFERROR(__xludf.DUMMYFUNCTION("IF(C27="""",""Missing"",IF(REGEXMATCH(C27,""^[^@\s]+@[^@\s]+\.[^@\s]+$""),""Valid"",""Invalid""))"),"Valid")</f>
        <v>Valid</v>
      </c>
      <c r="J27" s="4" t="s">
        <v>183</v>
      </c>
      <c r="K27" s="4" t="s">
        <v>184</v>
      </c>
      <c r="L27" s="4" t="s">
        <v>56</v>
      </c>
      <c r="M27" s="4" t="str">
        <f t="shared" si="3"/>
        <v>Argentina</v>
      </c>
      <c r="N27" s="4" t="s">
        <v>27</v>
      </c>
      <c r="O27" s="4" t="s">
        <v>40</v>
      </c>
      <c r="P27" s="4" t="s">
        <v>50</v>
      </c>
      <c r="Q27" s="4" t="str">
        <f t="shared" si="4"/>
        <v>New</v>
      </c>
      <c r="R27" s="9">
        <v>1500.0</v>
      </c>
      <c r="S27" s="10">
        <v>46253.0</v>
      </c>
      <c r="T27" s="10">
        <v>46286.0</v>
      </c>
      <c r="U27" s="4" t="s">
        <v>41</v>
      </c>
    </row>
    <row r="28" ht="15.75" customHeight="1">
      <c r="A28" s="4" t="s">
        <v>185</v>
      </c>
      <c r="B28" s="4" t="s">
        <v>186</v>
      </c>
      <c r="C28" s="4" t="s">
        <v>187</v>
      </c>
      <c r="D28" s="4" t="str">
        <f t="shared" si="1"/>
        <v>daniel.perez13 @ gmail.com</v>
      </c>
      <c r="E28" s="11" t="s">
        <v>188</v>
      </c>
      <c r="F28" s="18" t="s">
        <v>189</v>
      </c>
      <c r="G28" s="4" t="str">
        <f t="shared" si="2"/>
        <v>Unique</v>
      </c>
      <c r="I28" s="4" t="str">
        <f>IFERROR(__xludf.DUMMYFUNCTION("IF(C28="""",""Missing"",IF(REGEXMATCH(C28,""^[^@\s]+@[^@\s]+\.[^@\s]+$""),""Valid"",""Invalid""))"),"Invalid")</f>
        <v>Invalid</v>
      </c>
      <c r="K28" s="4" t="s">
        <v>190</v>
      </c>
      <c r="L28" s="4" t="s">
        <v>168</v>
      </c>
      <c r="M28" s="4" t="str">
        <f t="shared" si="3"/>
        <v>Argentina</v>
      </c>
      <c r="N28" s="4" t="s">
        <v>39</v>
      </c>
      <c r="O28" s="4" t="s">
        <v>76</v>
      </c>
      <c r="P28" s="4" t="s">
        <v>65</v>
      </c>
      <c r="Q28" s="4" t="str">
        <f t="shared" si="4"/>
        <v>Won</v>
      </c>
      <c r="R28" s="9">
        <v>350.0</v>
      </c>
      <c r="S28" s="10">
        <v>46121.0</v>
      </c>
      <c r="T28" s="10">
        <v>46153.0</v>
      </c>
      <c r="U28" s="4" t="s">
        <v>107</v>
      </c>
    </row>
    <row r="29" ht="15.75" customHeight="1">
      <c r="A29" s="4" t="s">
        <v>191</v>
      </c>
      <c r="B29" s="4" t="s">
        <v>192</v>
      </c>
      <c r="C29" s="4" t="s">
        <v>193</v>
      </c>
      <c r="D29" s="4" t="str">
        <f t="shared" si="1"/>
        <v>fernando.morales39@company.com</v>
      </c>
      <c r="G29" s="4" t="str">
        <f t="shared" si="2"/>
        <v>Unique</v>
      </c>
      <c r="I29" s="4" t="str">
        <f>IFERROR(__xludf.DUMMYFUNCTION("IF(C29="""",""Missing"",IF(REGEXMATCH(C29,""^[^@\s]+@[^@\s]+\.[^@\s]+$""),""Valid"",""Invalid""))"),"Valid")</f>
        <v>Valid</v>
      </c>
      <c r="J29" s="4" t="s">
        <v>194</v>
      </c>
      <c r="K29" s="4" t="s">
        <v>195</v>
      </c>
      <c r="L29" s="4" t="s">
        <v>56</v>
      </c>
      <c r="M29" s="4" t="str">
        <f t="shared" si="3"/>
        <v>Argentina</v>
      </c>
      <c r="N29" s="4" t="s">
        <v>57</v>
      </c>
      <c r="O29" s="4" t="s">
        <v>49</v>
      </c>
      <c r="P29" s="4" t="s">
        <v>65</v>
      </c>
      <c r="Q29" s="4" t="str">
        <f t="shared" si="4"/>
        <v>Won</v>
      </c>
      <c r="R29" s="9">
        <v>4500.0</v>
      </c>
      <c r="S29" s="10">
        <v>46206.0</v>
      </c>
      <c r="T29" s="10">
        <v>46206.0</v>
      </c>
      <c r="U29" s="4" t="s">
        <v>66</v>
      </c>
    </row>
    <row r="30" ht="15.75" customHeight="1">
      <c r="A30" s="4" t="s">
        <v>196</v>
      </c>
      <c r="B30" s="4" t="s">
        <v>197</v>
      </c>
      <c r="C30" s="4" t="s">
        <v>198</v>
      </c>
      <c r="D30" s="4" t="str">
        <f t="shared" si="1"/>
        <v>alejandro.torres56@company.com</v>
      </c>
      <c r="G30" s="4" t="str">
        <f t="shared" si="2"/>
        <v>Unique</v>
      </c>
      <c r="I30" s="4" t="str">
        <f>IFERROR(__xludf.DUMMYFUNCTION("IF(C30="""",""Missing"",IF(REGEXMATCH(C30,""^[^@\s]+@[^@\s]+\.[^@\s]+$""),""Valid"",""Invalid""))"),"Valid")</f>
        <v>Valid</v>
      </c>
      <c r="J30" s="4" t="s">
        <v>199</v>
      </c>
      <c r="K30" s="4" t="s">
        <v>200</v>
      </c>
      <c r="L30" s="4" t="s">
        <v>201</v>
      </c>
      <c r="M30" s="4" t="str">
        <f t="shared" si="3"/>
        <v>Mexico</v>
      </c>
      <c r="N30" s="4" t="s">
        <v>27</v>
      </c>
      <c r="O30" s="4" t="s">
        <v>49</v>
      </c>
      <c r="P30" s="4" t="s">
        <v>134</v>
      </c>
      <c r="Q30" s="4" t="str">
        <f t="shared" si="4"/>
        <v>Qualified</v>
      </c>
      <c r="R30" s="9">
        <v>3000.0</v>
      </c>
      <c r="S30" s="10">
        <v>46103.0</v>
      </c>
      <c r="T30" s="10">
        <v>46112.0</v>
      </c>
    </row>
    <row r="31" ht="15.75" customHeight="1">
      <c r="A31" s="4" t="s">
        <v>202</v>
      </c>
      <c r="B31" s="4" t="s">
        <v>203</v>
      </c>
      <c r="C31" s="4" t="s">
        <v>204</v>
      </c>
      <c r="D31" s="4" t="str">
        <f t="shared" si="1"/>
        <v>alejandro.ramirez44@company.com</v>
      </c>
      <c r="G31" s="4" t="str">
        <f t="shared" si="2"/>
        <v>Unique</v>
      </c>
      <c r="I31" s="4" t="str">
        <f>IFERROR(__xludf.DUMMYFUNCTION("IF(C31="""",""Missing"",IF(REGEXMATCH(C31,""^[^@\s]+@[^@\s]+\.[^@\s]+$""),""Valid"",""Invalid""))"),"Valid")</f>
        <v>Valid</v>
      </c>
      <c r="L31" s="4" t="s">
        <v>205</v>
      </c>
      <c r="M31" s="4" t="str">
        <f t="shared" si="3"/>
        <v>Chile</v>
      </c>
      <c r="N31" s="4" t="s">
        <v>133</v>
      </c>
      <c r="O31" s="4" t="s">
        <v>76</v>
      </c>
      <c r="P31" s="4" t="s">
        <v>50</v>
      </c>
      <c r="Q31" s="4" t="str">
        <f t="shared" si="4"/>
        <v>New</v>
      </c>
      <c r="R31" s="9">
        <v>2500.0</v>
      </c>
      <c r="S31" s="10">
        <v>46134.0</v>
      </c>
      <c r="T31" s="10">
        <v>46169.0</v>
      </c>
      <c r="U31" s="4" t="s">
        <v>66</v>
      </c>
    </row>
    <row r="32" ht="15.75" customHeight="1">
      <c r="A32" s="4" t="s">
        <v>206</v>
      </c>
      <c r="B32" s="4" t="s">
        <v>207</v>
      </c>
      <c r="C32" s="4" t="s">
        <v>208</v>
      </c>
      <c r="D32" s="4" t="str">
        <f t="shared" si="1"/>
        <v>raul.rodriguez57@gmail.com</v>
      </c>
      <c r="G32" s="4" t="str">
        <f t="shared" si="2"/>
        <v>Unique</v>
      </c>
      <c r="I32" s="4" t="str">
        <f>IFERROR(__xludf.DUMMYFUNCTION("IF(C32="""",""Missing"",IF(REGEXMATCH(C32,""^[^@\s]+@[^@\s]+\.[^@\s]+$""),""Valid"",""Invalid""))"),"Valid")</f>
        <v>Valid</v>
      </c>
      <c r="J32" s="4" t="s">
        <v>209</v>
      </c>
      <c r="K32" s="4" t="s">
        <v>210</v>
      </c>
      <c r="L32" s="4" t="s">
        <v>211</v>
      </c>
      <c r="M32" s="4" t="str">
        <f t="shared" si="3"/>
        <v>Mexico</v>
      </c>
      <c r="N32" s="4" t="s">
        <v>133</v>
      </c>
      <c r="O32" s="4" t="s">
        <v>28</v>
      </c>
      <c r="P32" s="4" t="s">
        <v>77</v>
      </c>
      <c r="Q32" s="4" t="str">
        <f t="shared" si="4"/>
        <v>Proposal Sent</v>
      </c>
      <c r="R32" s="9">
        <v>750.0</v>
      </c>
      <c r="S32" s="10">
        <v>46183.0</v>
      </c>
      <c r="T32" s="10">
        <v>46216.0</v>
      </c>
    </row>
    <row r="33" ht="15.75" customHeight="1">
      <c r="A33" s="4" t="s">
        <v>212</v>
      </c>
      <c r="B33" s="4" t="s">
        <v>213</v>
      </c>
      <c r="C33" s="4" t="s">
        <v>214</v>
      </c>
      <c r="D33" s="4" t="str">
        <f t="shared" si="1"/>
        <v>diego.navarro64@mail.com</v>
      </c>
      <c r="G33" s="4" t="str">
        <f t="shared" si="2"/>
        <v>Unique</v>
      </c>
      <c r="I33" s="4" t="str">
        <f>IFERROR(__xludf.DUMMYFUNCTION("IF(C33="""",""Missing"",IF(REGEXMATCH(C33,""^[^@\s]+@[^@\s]+\.[^@\s]+$""),""Valid"",""Invalid""))"),"Valid")</f>
        <v>Valid</v>
      </c>
      <c r="K33" s="4" t="s">
        <v>215</v>
      </c>
      <c r="L33" s="4" t="s">
        <v>216</v>
      </c>
      <c r="M33" s="4" t="str">
        <f t="shared" si="3"/>
        <v>Salvador</v>
      </c>
      <c r="N33" s="4" t="s">
        <v>27</v>
      </c>
      <c r="O33" s="4" t="s">
        <v>217</v>
      </c>
      <c r="P33" s="4" t="s">
        <v>50</v>
      </c>
      <c r="Q33" s="4" t="str">
        <f t="shared" si="4"/>
        <v>New</v>
      </c>
      <c r="R33" s="9"/>
      <c r="S33" s="10">
        <v>46095.0</v>
      </c>
      <c r="T33" s="10">
        <v>46099.0</v>
      </c>
      <c r="U33" s="4" t="s">
        <v>66</v>
      </c>
    </row>
    <row r="34" ht="15.75" customHeight="1">
      <c r="A34" s="4" t="s">
        <v>218</v>
      </c>
      <c r="B34" s="4" t="s">
        <v>219</v>
      </c>
      <c r="C34" s="4" t="s">
        <v>221</v>
      </c>
      <c r="D34" s="4" t="str">
        <f t="shared" si="1"/>
        <v>andres.sanchez74@outlook.com</v>
      </c>
      <c r="G34" s="4" t="str">
        <f t="shared" si="2"/>
        <v>Unique</v>
      </c>
      <c r="I34" s="4" t="str">
        <f>IFERROR(__xludf.DUMMYFUNCTION("IF(C34="""",""Missing"",IF(REGEXMATCH(C34,""^[^@\s]+@[^@\s]+\.[^@\s]+$""),""Valid"",""Invalid""))"),"Valid")</f>
        <v>Valid</v>
      </c>
      <c r="J34" s="4" t="s">
        <v>222</v>
      </c>
      <c r="K34" s="4" t="s">
        <v>223</v>
      </c>
      <c r="L34" s="4" t="s">
        <v>120</v>
      </c>
      <c r="M34" s="4" t="str">
        <f t="shared" si="3"/>
        <v>United States</v>
      </c>
      <c r="N34" s="4" t="s">
        <v>27</v>
      </c>
      <c r="O34" s="4" t="s">
        <v>217</v>
      </c>
      <c r="P34" s="4" t="s">
        <v>65</v>
      </c>
      <c r="Q34" s="4" t="str">
        <f t="shared" si="4"/>
        <v>Won</v>
      </c>
      <c r="R34" s="9">
        <v>750.0</v>
      </c>
      <c r="S34" s="10">
        <v>46190.0</v>
      </c>
      <c r="T34" s="10">
        <v>46192.0</v>
      </c>
      <c r="U34" s="4" t="s">
        <v>41</v>
      </c>
    </row>
    <row r="35" ht="15.75" customHeight="1">
      <c r="A35" s="4" t="s">
        <v>224</v>
      </c>
      <c r="B35" s="4" t="s">
        <v>225</v>
      </c>
      <c r="C35" s="4" t="s">
        <v>226</v>
      </c>
      <c r="D35" s="4" t="str">
        <f t="shared" si="1"/>
        <v>manuel.morales27@gmail.com</v>
      </c>
      <c r="G35" s="4" t="str">
        <f t="shared" si="2"/>
        <v>Unique</v>
      </c>
      <c r="I35" s="4" t="str">
        <f>IFERROR(__xludf.DUMMYFUNCTION("IF(C35="""",""Missing"",IF(REGEXMATCH(C35,""^[^@\s]+@[^@\s]+\.[^@\s]+$""),""Valid"",""Invalid""))"),"Valid")</f>
        <v>Valid</v>
      </c>
      <c r="J35" s="4" t="s">
        <v>227</v>
      </c>
      <c r="K35" s="4" t="s">
        <v>228</v>
      </c>
      <c r="L35" s="4" t="s">
        <v>64</v>
      </c>
      <c r="M35" s="4" t="str">
        <f t="shared" si="3"/>
        <v>Peru</v>
      </c>
      <c r="N35" s="4" t="s">
        <v>57</v>
      </c>
      <c r="O35" s="4" t="s">
        <v>49</v>
      </c>
      <c r="P35" s="4" t="s">
        <v>65</v>
      </c>
      <c r="Q35" s="4" t="str">
        <f t="shared" si="4"/>
        <v>Won</v>
      </c>
      <c r="R35" s="9">
        <v>3000.0</v>
      </c>
      <c r="S35" s="10">
        <v>46030.0</v>
      </c>
      <c r="T35" s="10">
        <v>46052.0</v>
      </c>
      <c r="U35" s="4" t="s">
        <v>30</v>
      </c>
    </row>
    <row r="36" ht="15.75" customHeight="1">
      <c r="A36" s="4" t="s">
        <v>229</v>
      </c>
      <c r="B36" s="4" t="s">
        <v>230</v>
      </c>
      <c r="C36" s="4" t="s">
        <v>231</v>
      </c>
      <c r="D36" s="4" t="str">
        <f t="shared" si="1"/>
        <v>alejandro.sanchez42@mail.com</v>
      </c>
      <c r="G36" s="4" t="str">
        <f t="shared" si="2"/>
        <v>Unique</v>
      </c>
      <c r="I36" s="4" t="str">
        <f>IFERROR(__xludf.DUMMYFUNCTION("IF(C36="""",""Missing"",IF(REGEXMATCH(C36,""^[^@\s]+@[^@\s]+\.[^@\s]+$""),""Valid"",""Invalid""))"),"Valid")</f>
        <v>Valid</v>
      </c>
      <c r="J36" s="4" t="s">
        <v>232</v>
      </c>
      <c r="K36" s="4" t="s">
        <v>105</v>
      </c>
      <c r="L36" s="4" t="s">
        <v>174</v>
      </c>
      <c r="M36" s="4" t="str">
        <f t="shared" si="3"/>
        <v>Colombia</v>
      </c>
      <c r="N36" s="4" t="s">
        <v>39</v>
      </c>
      <c r="O36" s="4" t="s">
        <v>76</v>
      </c>
      <c r="P36" s="4" t="s">
        <v>58</v>
      </c>
      <c r="Q36" s="4" t="str">
        <f t="shared" si="4"/>
        <v>Lost</v>
      </c>
      <c r="R36" s="9">
        <v>500.0</v>
      </c>
      <c r="S36" s="10">
        <v>46092.0</v>
      </c>
      <c r="T36" s="10">
        <v>46135.0</v>
      </c>
    </row>
    <row r="37" ht="15.75" customHeight="1">
      <c r="A37" s="4" t="s">
        <v>233</v>
      </c>
      <c r="B37" s="4" t="s">
        <v>234</v>
      </c>
      <c r="C37" s="4" t="s">
        <v>235</v>
      </c>
      <c r="D37" s="4" t="str">
        <f t="shared" si="1"/>
        <v>patricia.diaz43@company.com</v>
      </c>
      <c r="G37" s="4" t="str">
        <f t="shared" si="2"/>
        <v>Unique</v>
      </c>
      <c r="I37" s="4" t="str">
        <f>IFERROR(__xludf.DUMMYFUNCTION("IF(C37="""",""Missing"",IF(REGEXMATCH(C37,""^[^@\s]+@[^@\s]+\.[^@\s]+$""),""Valid"",""Invalid""))"),"Valid")</f>
        <v>Valid</v>
      </c>
      <c r="J37" s="4" t="s">
        <v>236</v>
      </c>
      <c r="K37" s="4" t="s">
        <v>237</v>
      </c>
      <c r="L37" s="4" t="s">
        <v>47</v>
      </c>
      <c r="M37" s="4" t="str">
        <f t="shared" si="3"/>
        <v>El Salvador</v>
      </c>
      <c r="N37" s="4" t="s">
        <v>27</v>
      </c>
      <c r="O37" s="4" t="s">
        <v>217</v>
      </c>
      <c r="P37" s="4" t="s">
        <v>77</v>
      </c>
      <c r="Q37" s="4" t="str">
        <f t="shared" si="4"/>
        <v>Proposal Sent</v>
      </c>
      <c r="R37" s="9">
        <v>4500.0</v>
      </c>
      <c r="S37" s="10">
        <v>46035.0</v>
      </c>
      <c r="T37" s="10">
        <v>46080.0</v>
      </c>
      <c r="U37" s="4" t="s">
        <v>95</v>
      </c>
    </row>
    <row r="38" ht="15.75" customHeight="1">
      <c r="A38" s="4" t="s">
        <v>238</v>
      </c>
      <c r="B38" s="4" t="s">
        <v>239</v>
      </c>
      <c r="C38" s="4" t="s">
        <v>240</v>
      </c>
      <c r="D38" s="4" t="str">
        <f t="shared" si="1"/>
        <v>david.torres10@company.com</v>
      </c>
      <c r="G38" s="4" t="str">
        <f t="shared" si="2"/>
        <v>Unique</v>
      </c>
      <c r="I38" s="4" t="str">
        <f>IFERROR(__xludf.DUMMYFUNCTION("IF(C38="""",""Missing"",IF(REGEXMATCH(C38,""^[^@\s]+@[^@\s]+\.[^@\s]+$""),""Valid"",""Invalid""))"),"Valid")</f>
        <v>Valid</v>
      </c>
      <c r="J38" s="4" t="s">
        <v>241</v>
      </c>
      <c r="K38" s="4" t="s">
        <v>242</v>
      </c>
      <c r="L38" s="4" t="s">
        <v>26</v>
      </c>
      <c r="M38" s="4" t="str">
        <f t="shared" si="3"/>
        <v>Chile</v>
      </c>
      <c r="N38" s="4" t="s">
        <v>48</v>
      </c>
      <c r="O38" s="4" t="s">
        <v>217</v>
      </c>
      <c r="P38" s="4" t="s">
        <v>58</v>
      </c>
      <c r="Q38" s="4" t="str">
        <f t="shared" si="4"/>
        <v>Lost</v>
      </c>
      <c r="R38" s="9">
        <v>3000.0</v>
      </c>
      <c r="S38" s="10">
        <v>46134.0</v>
      </c>
      <c r="T38" s="10">
        <v>46154.0</v>
      </c>
      <c r="U38" s="4" t="s">
        <v>41</v>
      </c>
    </row>
    <row r="39" ht="15.75" customHeight="1">
      <c r="A39" s="4" t="s">
        <v>243</v>
      </c>
      <c r="B39" s="4" t="s">
        <v>244</v>
      </c>
      <c r="C39" s="4" t="s">
        <v>245</v>
      </c>
      <c r="D39" s="4" t="str">
        <f t="shared" si="1"/>
        <v>fernando.romero63@gmail.com</v>
      </c>
      <c r="G39" s="4" t="str">
        <f t="shared" si="2"/>
        <v>Unique</v>
      </c>
      <c r="I39" s="4" t="str">
        <f>IFERROR(__xludf.DUMMYFUNCTION("IF(C39="""",""Missing"",IF(REGEXMATCH(C39,""^[^@\s]+@[^@\s]+\.[^@\s]+$""),""Valid"",""Invalid""))"),"Valid")</f>
        <v>Valid</v>
      </c>
      <c r="J39" s="4" t="s">
        <v>246</v>
      </c>
      <c r="K39" s="4" t="s">
        <v>247</v>
      </c>
      <c r="L39" s="4" t="s">
        <v>248</v>
      </c>
      <c r="M39" s="4" t="str">
        <f t="shared" si="3"/>
        <v>Colombia</v>
      </c>
      <c r="N39" s="4" t="s">
        <v>106</v>
      </c>
      <c r="O39" s="4" t="s">
        <v>76</v>
      </c>
      <c r="P39" s="4" t="s">
        <v>77</v>
      </c>
      <c r="Q39" s="4" t="str">
        <f t="shared" si="4"/>
        <v>Proposal Sent</v>
      </c>
      <c r="R39" s="9">
        <v>350.0</v>
      </c>
      <c r="S39" s="10">
        <v>46153.0</v>
      </c>
      <c r="T39" s="10">
        <v>46161.0</v>
      </c>
      <c r="U39" s="4" t="s">
        <v>107</v>
      </c>
    </row>
    <row r="40" ht="15.75" customHeight="1">
      <c r="A40" s="4" t="s">
        <v>249</v>
      </c>
      <c r="B40" s="4" t="s">
        <v>250</v>
      </c>
      <c r="C40" s="4" t="s">
        <v>251</v>
      </c>
      <c r="D40" s="4" t="str">
        <f t="shared" si="1"/>
        <v>fernando.rivera80@company.com</v>
      </c>
      <c r="G40" s="4" t="str">
        <f t="shared" si="2"/>
        <v>Unique</v>
      </c>
      <c r="I40" s="4" t="str">
        <f>IFERROR(__xludf.DUMMYFUNCTION("IF(C40="""",""Missing"",IF(REGEXMATCH(C40,""^[^@\s]+@[^@\s]+\.[^@\s]+$""),""Valid"",""Invalid""))"),"Valid")</f>
        <v>Valid</v>
      </c>
      <c r="J40" s="4" t="s">
        <v>252</v>
      </c>
      <c r="L40" s="4" t="s">
        <v>174</v>
      </c>
      <c r="M40" s="4" t="str">
        <f t="shared" si="3"/>
        <v>Colombia</v>
      </c>
      <c r="N40" s="4" t="s">
        <v>39</v>
      </c>
      <c r="O40" s="4" t="s">
        <v>40</v>
      </c>
      <c r="P40" s="4" t="s">
        <v>65</v>
      </c>
      <c r="Q40" s="4" t="str">
        <f t="shared" si="4"/>
        <v>Won</v>
      </c>
      <c r="R40" s="9">
        <v>350.0</v>
      </c>
      <c r="S40" s="10">
        <v>46090.0</v>
      </c>
      <c r="T40" s="10">
        <v>46090.0</v>
      </c>
      <c r="U40" s="4" t="s">
        <v>66</v>
      </c>
    </row>
    <row r="41" ht="15.75" customHeight="1">
      <c r="A41" s="4" t="s">
        <v>254</v>
      </c>
      <c r="B41" s="4" t="s">
        <v>255</v>
      </c>
      <c r="C41" s="4" t="s">
        <v>256</v>
      </c>
      <c r="D41" s="4" t="str">
        <f t="shared" si="1"/>
        <v>isabel.ortiz36@mail.com</v>
      </c>
      <c r="G41" s="4" t="str">
        <f t="shared" si="2"/>
        <v>Unique</v>
      </c>
      <c r="I41" s="4" t="str">
        <f>IFERROR(__xludf.DUMMYFUNCTION("IF(C41="""",""Missing"",IF(REGEXMATCH(C41,""^[^@\s]+@[^@\s]+\.[^@\s]+$""),""Valid"",""Invalid""))"),"Valid")</f>
        <v>Valid</v>
      </c>
      <c r="J41" s="4" t="s">
        <v>258</v>
      </c>
      <c r="K41" s="4" t="s">
        <v>259</v>
      </c>
      <c r="L41" s="4" t="s">
        <v>175</v>
      </c>
      <c r="M41" s="4" t="str">
        <f t="shared" si="3"/>
        <v>Peru</v>
      </c>
      <c r="N41" s="4" t="s">
        <v>57</v>
      </c>
      <c r="O41" s="4" t="s">
        <v>40</v>
      </c>
      <c r="P41" s="4" t="s">
        <v>65</v>
      </c>
      <c r="Q41" s="4" t="str">
        <f t="shared" si="4"/>
        <v>Won</v>
      </c>
      <c r="R41" s="9">
        <v>2000.0</v>
      </c>
      <c r="S41" s="10">
        <v>46068.0</v>
      </c>
      <c r="T41" s="10">
        <v>46107.0</v>
      </c>
      <c r="U41" s="4" t="s">
        <v>95</v>
      </c>
    </row>
    <row r="42" ht="15.75" customHeight="1">
      <c r="A42" s="4" t="s">
        <v>261</v>
      </c>
      <c r="B42" s="4" t="s">
        <v>262</v>
      </c>
      <c r="C42" s="4" t="s">
        <v>263</v>
      </c>
      <c r="D42" s="4" t="str">
        <f t="shared" si="1"/>
        <v>lucia.sanchez5 @ outlook.com</v>
      </c>
      <c r="E42" s="11" t="s">
        <v>188</v>
      </c>
      <c r="F42" s="18" t="s">
        <v>264</v>
      </c>
      <c r="G42" s="4" t="str">
        <f t="shared" si="2"/>
        <v>Unique</v>
      </c>
      <c r="I42" s="4" t="str">
        <f>IFERROR(__xludf.DUMMYFUNCTION("IF(C42="""",""Missing"",IF(REGEXMATCH(C42,""^[^@\s]+@[^@\s]+\.[^@\s]+$""),""Valid"",""Invalid""))"),"Invalid")</f>
        <v>Invalid</v>
      </c>
      <c r="J42" s="4" t="s">
        <v>265</v>
      </c>
      <c r="K42" s="4" t="s">
        <v>266</v>
      </c>
      <c r="L42" s="4" t="s">
        <v>151</v>
      </c>
      <c r="M42" s="4" t="str">
        <f t="shared" si="3"/>
        <v>El Salvador</v>
      </c>
      <c r="N42" s="4" t="s">
        <v>133</v>
      </c>
      <c r="O42" s="4" t="s">
        <v>40</v>
      </c>
      <c r="P42" s="4" t="s">
        <v>77</v>
      </c>
      <c r="Q42" s="4" t="str">
        <f t="shared" si="4"/>
        <v>Proposal Sent</v>
      </c>
      <c r="R42" s="9">
        <v>350.0</v>
      </c>
      <c r="S42" s="10">
        <v>46116.0</v>
      </c>
      <c r="T42" s="10"/>
      <c r="U42" s="4" t="s">
        <v>95</v>
      </c>
    </row>
    <row r="43" ht="15.75" customHeight="1">
      <c r="A43" s="4" t="s">
        <v>267</v>
      </c>
      <c r="B43" s="4" t="s">
        <v>268</v>
      </c>
      <c r="C43" s="4" t="s">
        <v>269</v>
      </c>
      <c r="D43" s="4" t="str">
        <f t="shared" si="1"/>
        <v>carolina.flores80@mail.com</v>
      </c>
      <c r="G43" s="4" t="str">
        <f t="shared" si="2"/>
        <v>Unique</v>
      </c>
      <c r="I43" s="4" t="str">
        <f>IFERROR(__xludf.DUMMYFUNCTION("IF(C43="""",""Missing"",IF(REGEXMATCH(C43,""^[^@\s]+@[^@\s]+\.[^@\s]+$""),""Valid"",""Invalid""))"),"Valid")</f>
        <v>Valid</v>
      </c>
      <c r="J43" s="4" t="s">
        <v>270</v>
      </c>
      <c r="K43" s="4" t="s">
        <v>237</v>
      </c>
      <c r="L43" s="4" t="s">
        <v>162</v>
      </c>
      <c r="M43" s="4" t="str">
        <f t="shared" si="3"/>
        <v>United States</v>
      </c>
      <c r="N43" s="4" t="s">
        <v>57</v>
      </c>
      <c r="O43" s="4" t="s">
        <v>76</v>
      </c>
      <c r="P43" s="4" t="s">
        <v>134</v>
      </c>
      <c r="Q43" s="4" t="str">
        <f t="shared" si="4"/>
        <v>Qualified</v>
      </c>
      <c r="R43" s="9">
        <v>4500.0</v>
      </c>
      <c r="S43" s="10">
        <v>46155.0</v>
      </c>
      <c r="T43" s="10">
        <v>46174.0</v>
      </c>
      <c r="U43" s="4" t="s">
        <v>30</v>
      </c>
    </row>
    <row r="44" ht="15.75" customHeight="1">
      <c r="A44" s="4" t="s">
        <v>273</v>
      </c>
      <c r="B44" s="4" t="s">
        <v>274</v>
      </c>
      <c r="C44" s="4" t="s">
        <v>275</v>
      </c>
      <c r="D44" s="4" t="str">
        <f t="shared" si="1"/>
        <v>sofia.morales41@gmail.com</v>
      </c>
      <c r="G44" s="4" t="str">
        <f t="shared" si="2"/>
        <v>Unique</v>
      </c>
      <c r="I44" s="4" t="str">
        <f>IFERROR(__xludf.DUMMYFUNCTION("IF(C44="""",""Missing"",IF(REGEXMATCH(C44,""^[^@\s]+@[^@\s]+\.[^@\s]+$""),""Valid"",""Invalid""))"),"Valid")</f>
        <v>Valid</v>
      </c>
      <c r="J44" s="4" t="s">
        <v>276</v>
      </c>
      <c r="K44" s="4" t="s">
        <v>277</v>
      </c>
      <c r="L44" s="4" t="s">
        <v>38</v>
      </c>
      <c r="M44" s="4" t="str">
        <f t="shared" si="3"/>
        <v>Chile</v>
      </c>
      <c r="N44" s="4" t="s">
        <v>48</v>
      </c>
      <c r="O44" s="4" t="s">
        <v>76</v>
      </c>
      <c r="P44" s="4" t="s">
        <v>58</v>
      </c>
      <c r="Q44" s="4" t="str">
        <f t="shared" si="4"/>
        <v>Lost</v>
      </c>
      <c r="R44" s="9">
        <v>900.0</v>
      </c>
      <c r="S44" s="10">
        <v>46264.0</v>
      </c>
      <c r="T44" s="10">
        <v>46289.0</v>
      </c>
      <c r="U44" s="4" t="s">
        <v>107</v>
      </c>
    </row>
    <row r="45" ht="15.75" customHeight="1">
      <c r="A45" s="4" t="s">
        <v>278</v>
      </c>
      <c r="B45" s="4" t="s">
        <v>279</v>
      </c>
      <c r="C45" s="4" t="s">
        <v>280</v>
      </c>
      <c r="D45" s="4" t="str">
        <f t="shared" si="1"/>
        <v>maria.ortiz54@outlook.com</v>
      </c>
      <c r="G45" s="4" t="str">
        <f t="shared" si="2"/>
        <v>Unique</v>
      </c>
      <c r="I45" s="4" t="str">
        <f>IFERROR(__xludf.DUMMYFUNCTION("IF(C45="""",""Missing"",IF(REGEXMATCH(C45,""^[^@\s]+@[^@\s]+\.[^@\s]+$""),""Valid"",""Invalid""))"),"Valid")</f>
        <v>Valid</v>
      </c>
      <c r="J45" s="4" t="s">
        <v>281</v>
      </c>
      <c r="K45" s="4" t="s">
        <v>282</v>
      </c>
      <c r="L45" s="4" t="s">
        <v>283</v>
      </c>
      <c r="M45" s="4" t="str">
        <f t="shared" si="3"/>
        <v>Colombia</v>
      </c>
      <c r="N45" s="4" t="s">
        <v>106</v>
      </c>
      <c r="O45" s="4" t="s">
        <v>76</v>
      </c>
      <c r="P45" s="4" t="s">
        <v>29</v>
      </c>
      <c r="Q45" s="4" t="str">
        <f t="shared" si="4"/>
        <v>Contacted</v>
      </c>
      <c r="R45" s="9">
        <v>1500.0</v>
      </c>
      <c r="S45" s="10">
        <v>46053.0</v>
      </c>
      <c r="T45" s="10">
        <v>46068.0</v>
      </c>
      <c r="U45" s="4" t="s">
        <v>66</v>
      </c>
    </row>
    <row r="46" ht="15.75" customHeight="1">
      <c r="A46" s="4" t="s">
        <v>284</v>
      </c>
      <c r="B46" s="4" t="s">
        <v>285</v>
      </c>
      <c r="C46" s="4" t="s">
        <v>286</v>
      </c>
      <c r="D46" s="4" t="str">
        <f t="shared" si="1"/>
        <v>natalia.sanchez62@company.com</v>
      </c>
      <c r="G46" s="4" t="str">
        <f t="shared" si="2"/>
        <v>Unique</v>
      </c>
      <c r="I46" s="4" t="str">
        <f>IFERROR(__xludf.DUMMYFUNCTION("IF(C46="""",""Missing"",IF(REGEXMATCH(C46,""^[^@\s]+@[^@\s]+\.[^@\s]+$""),""Valid"",""Invalid""))"),"Valid")</f>
        <v>Valid</v>
      </c>
      <c r="J46" s="4" t="s">
        <v>287</v>
      </c>
      <c r="K46" s="4" t="s">
        <v>288</v>
      </c>
      <c r="L46" s="4" t="s">
        <v>248</v>
      </c>
      <c r="M46" s="4" t="str">
        <f t="shared" si="3"/>
        <v>Colombia</v>
      </c>
      <c r="N46" s="4" t="s">
        <v>48</v>
      </c>
      <c r="O46" s="4" t="s">
        <v>28</v>
      </c>
      <c r="P46" s="4" t="s">
        <v>77</v>
      </c>
      <c r="Q46" s="4" t="str">
        <f t="shared" si="4"/>
        <v>Proposal Sent</v>
      </c>
      <c r="R46" s="9">
        <v>2000.0</v>
      </c>
      <c r="S46" s="10">
        <v>46259.0</v>
      </c>
      <c r="T46" s="10">
        <v>46298.0</v>
      </c>
      <c r="U46" s="4" t="s">
        <v>41</v>
      </c>
    </row>
    <row r="47" ht="15.75" customHeight="1">
      <c r="A47" s="4" t="s">
        <v>289</v>
      </c>
      <c r="B47" s="4" t="s">
        <v>290</v>
      </c>
      <c r="C47" s="4" t="s">
        <v>291</v>
      </c>
      <c r="D47" s="4" t="str">
        <f t="shared" si="1"/>
        <v>camila.diaz36@mail.com</v>
      </c>
      <c r="G47" s="4" t="str">
        <f t="shared" si="2"/>
        <v>Unique</v>
      </c>
      <c r="I47" s="4" t="str">
        <f>IFERROR(__xludf.DUMMYFUNCTION("IF(C47="""",""Missing"",IF(REGEXMATCH(C47,""^[^@\s]+@[^@\s]+\.[^@\s]+$""),""Valid"",""Invalid""))"),"Valid")</f>
        <v>Valid</v>
      </c>
      <c r="J47" s="4" t="s">
        <v>292</v>
      </c>
      <c r="K47" s="4" t="s">
        <v>293</v>
      </c>
      <c r="L47" s="4" t="s">
        <v>283</v>
      </c>
      <c r="M47" s="4" t="str">
        <f t="shared" si="3"/>
        <v>Colombia</v>
      </c>
      <c r="N47" s="4" t="s">
        <v>48</v>
      </c>
      <c r="O47" s="4" t="s">
        <v>28</v>
      </c>
      <c r="P47" s="4" t="s">
        <v>134</v>
      </c>
      <c r="Q47" s="4" t="str">
        <f t="shared" si="4"/>
        <v>Qualified</v>
      </c>
      <c r="R47" s="9">
        <v>1500.0</v>
      </c>
      <c r="S47" s="10">
        <v>46043.0</v>
      </c>
      <c r="T47" s="10">
        <v>46059.0</v>
      </c>
      <c r="U47" s="4" t="s">
        <v>30</v>
      </c>
    </row>
    <row r="48" ht="15.75" customHeight="1">
      <c r="A48" s="4" t="s">
        <v>294</v>
      </c>
      <c r="B48" s="4" t="s">
        <v>295</v>
      </c>
      <c r="C48" s="4" t="s">
        <v>296</v>
      </c>
      <c r="D48" s="4" t="str">
        <f t="shared" si="1"/>
        <v>sofia.vargas36@mail.com</v>
      </c>
      <c r="G48" s="4" t="str">
        <f t="shared" si="2"/>
        <v>Unique</v>
      </c>
      <c r="I48" s="4" t="str">
        <f>IFERROR(__xludf.DUMMYFUNCTION("IF(C48="""",""Missing"",IF(REGEXMATCH(C48,""^[^@\s]+@[^@\s]+\.[^@\s]+$""),""Valid"",""Invalid""))"),"Valid")</f>
        <v>Valid</v>
      </c>
      <c r="K48" s="4" t="s">
        <v>242</v>
      </c>
      <c r="L48" s="4" t="s">
        <v>75</v>
      </c>
      <c r="M48" s="4" t="str">
        <f t="shared" si="3"/>
        <v>United States</v>
      </c>
      <c r="N48" s="4" t="s">
        <v>39</v>
      </c>
      <c r="O48" s="4" t="s">
        <v>49</v>
      </c>
      <c r="P48" s="4" t="s">
        <v>77</v>
      </c>
      <c r="Q48" s="4" t="str">
        <f t="shared" si="4"/>
        <v>Proposal Sent</v>
      </c>
      <c r="R48" s="9">
        <v>1500.0</v>
      </c>
      <c r="S48" s="10">
        <v>46173.0</v>
      </c>
      <c r="T48" s="10">
        <v>46174.0</v>
      </c>
      <c r="U48" s="4" t="s">
        <v>41</v>
      </c>
    </row>
    <row r="49" ht="15.75" customHeight="1">
      <c r="A49" s="4" t="s">
        <v>299</v>
      </c>
      <c r="B49" s="4" t="s">
        <v>300</v>
      </c>
      <c r="C49" s="4" t="s">
        <v>301</v>
      </c>
      <c r="D49" s="4" t="str">
        <f t="shared" si="1"/>
        <v>luis.flores7@company.com</v>
      </c>
      <c r="G49" s="4" t="str">
        <f t="shared" si="2"/>
        <v>Unique</v>
      </c>
      <c r="I49" s="4" t="str">
        <f>IFERROR(__xludf.DUMMYFUNCTION("IF(C49="""",""Missing"",IF(REGEXMATCH(C49,""^[^@\s]+@[^@\s]+\.[^@\s]+$""),""Valid"",""Invalid""))"),"Valid")</f>
        <v>Valid</v>
      </c>
      <c r="K49" s="4" t="s">
        <v>303</v>
      </c>
      <c r="L49" s="4" t="s">
        <v>56</v>
      </c>
      <c r="M49" s="4" t="str">
        <f t="shared" si="3"/>
        <v>Argentina</v>
      </c>
      <c r="N49" s="4" t="s">
        <v>106</v>
      </c>
      <c r="O49" s="4" t="s">
        <v>40</v>
      </c>
      <c r="P49" s="4" t="s">
        <v>304</v>
      </c>
      <c r="Q49" s="4" t="str">
        <f t="shared" si="4"/>
        <v>Qualified</v>
      </c>
      <c r="R49" s="9">
        <v>1200.0</v>
      </c>
      <c r="S49" s="10">
        <v>46187.0</v>
      </c>
      <c r="T49" s="10">
        <v>46204.0</v>
      </c>
    </row>
    <row r="50" ht="15.75" customHeight="1">
      <c r="A50" s="4" t="s">
        <v>305</v>
      </c>
      <c r="B50" s="4" t="s">
        <v>306</v>
      </c>
      <c r="C50" s="4" t="s">
        <v>307</v>
      </c>
      <c r="D50" s="4" t="str">
        <f t="shared" si="1"/>
        <v>carlos.perez33@gmail.com</v>
      </c>
      <c r="G50" s="4" t="str">
        <f t="shared" si="2"/>
        <v>Duplicate</v>
      </c>
      <c r="H50" s="11" t="s">
        <v>69</v>
      </c>
      <c r="I50" s="4" t="str">
        <f>IFERROR(__xludf.DUMMYFUNCTION("IF(C50="""",""Missing"",IF(REGEXMATCH(C50,""^[^@\s]+@[^@\s]+\.[^@\s]+$""),""Valid"",""Invalid""))"),"Valid")</f>
        <v>Valid</v>
      </c>
      <c r="J50" s="4" t="s">
        <v>160</v>
      </c>
      <c r="K50" s="4" t="s">
        <v>161</v>
      </c>
      <c r="L50" s="4" t="s">
        <v>162</v>
      </c>
      <c r="M50" s="4" t="str">
        <f t="shared" si="3"/>
        <v>United States</v>
      </c>
      <c r="N50" s="4" t="s">
        <v>48</v>
      </c>
      <c r="O50" s="4" t="s">
        <v>28</v>
      </c>
      <c r="P50" s="4" t="s">
        <v>134</v>
      </c>
      <c r="Q50" s="4" t="str">
        <f t="shared" si="4"/>
        <v>Qualified</v>
      </c>
      <c r="R50" s="9">
        <v>1500.0</v>
      </c>
      <c r="S50" s="10">
        <v>46253.0</v>
      </c>
      <c r="T50" s="10">
        <v>46275.0</v>
      </c>
      <c r="U50" s="4" t="s">
        <v>66</v>
      </c>
    </row>
    <row r="51" ht="15.75" customHeight="1">
      <c r="A51" s="4" t="s">
        <v>308</v>
      </c>
      <c r="B51" s="4" t="s">
        <v>309</v>
      </c>
      <c r="C51" s="4" t="s">
        <v>310</v>
      </c>
      <c r="D51" s="4" t="str">
        <f t="shared" si="1"/>
        <v>lucia.garcia2@outlook.com</v>
      </c>
      <c r="G51" s="4" t="str">
        <f t="shared" si="2"/>
        <v>Unique</v>
      </c>
      <c r="I51" s="4" t="str">
        <f>IFERROR(__xludf.DUMMYFUNCTION("IF(C51="""",""Missing"",IF(REGEXMATCH(C51,""^[^@\s]+@[^@\s]+\.[^@\s]+$""),""Valid"",""Invalid""))"),"Valid")</f>
        <v>Valid</v>
      </c>
      <c r="J51" s="4" t="s">
        <v>311</v>
      </c>
      <c r="K51" s="4" t="s">
        <v>131</v>
      </c>
      <c r="L51" s="4" t="s">
        <v>26</v>
      </c>
      <c r="M51" s="4" t="str">
        <f t="shared" si="3"/>
        <v>Chile</v>
      </c>
      <c r="N51" s="4" t="s">
        <v>39</v>
      </c>
      <c r="O51" s="4" t="s">
        <v>76</v>
      </c>
      <c r="P51" s="4" t="s">
        <v>77</v>
      </c>
      <c r="Q51" s="4" t="str">
        <f t="shared" si="4"/>
        <v>Proposal Sent</v>
      </c>
      <c r="R51" s="9">
        <v>4500.0</v>
      </c>
      <c r="S51" s="10">
        <v>46244.0</v>
      </c>
      <c r="T51" s="10"/>
      <c r="U51" s="4" t="s">
        <v>41</v>
      </c>
    </row>
    <row r="52" ht="15.75" customHeight="1">
      <c r="A52" s="4" t="s">
        <v>314</v>
      </c>
      <c r="B52" s="4" t="s">
        <v>315</v>
      </c>
      <c r="C52" s="4" t="s">
        <v>316</v>
      </c>
      <c r="D52" s="4" t="str">
        <f t="shared" si="1"/>
        <v>maria.sanchez18@outlook.com</v>
      </c>
      <c r="G52" s="4" t="str">
        <f t="shared" si="2"/>
        <v>Unique</v>
      </c>
      <c r="I52" s="4" t="str">
        <f>IFERROR(__xludf.DUMMYFUNCTION("IF(C52="""",""Missing"",IF(REGEXMATCH(C52,""^[^@\s]+@[^@\s]+\.[^@\s]+$""),""Valid"",""Invalid""))"),"Valid")</f>
        <v>Valid</v>
      </c>
      <c r="J52" s="4" t="s">
        <v>317</v>
      </c>
      <c r="K52" s="4" t="s">
        <v>318</v>
      </c>
      <c r="L52" s="4" t="s">
        <v>82</v>
      </c>
      <c r="M52" s="4" t="str">
        <f t="shared" si="3"/>
        <v>Spain</v>
      </c>
      <c r="N52" s="4" t="s">
        <v>39</v>
      </c>
      <c r="O52" s="4" t="s">
        <v>217</v>
      </c>
      <c r="P52" s="4" t="s">
        <v>50</v>
      </c>
      <c r="Q52" s="4" t="str">
        <f t="shared" si="4"/>
        <v>New</v>
      </c>
      <c r="R52" s="9">
        <v>750.0</v>
      </c>
      <c r="S52" s="10">
        <v>46260.0</v>
      </c>
      <c r="T52" s="10">
        <v>46289.0</v>
      </c>
      <c r="U52" s="4" t="s">
        <v>41</v>
      </c>
    </row>
    <row r="53" ht="15.75" customHeight="1">
      <c r="A53" s="4" t="s">
        <v>319</v>
      </c>
      <c r="B53" s="4" t="s">
        <v>320</v>
      </c>
      <c r="C53" s="4" t="s">
        <v>322</v>
      </c>
      <c r="D53" s="4" t="str">
        <f t="shared" si="1"/>
        <v>patricia.rodriguez52@outlook.com</v>
      </c>
      <c r="G53" s="4" t="str">
        <f t="shared" si="2"/>
        <v>Unique</v>
      </c>
      <c r="I53" s="4" t="str">
        <f>IFERROR(__xludf.DUMMYFUNCTION("IF(C53="""",""Missing"",IF(REGEXMATCH(C53,""^[^@\s]+@[^@\s]+\.[^@\s]+$""),""Valid"",""Invalid""))"),"Valid")</f>
        <v>Valid</v>
      </c>
      <c r="J53" s="4" t="s">
        <v>323</v>
      </c>
      <c r="K53" s="4" t="s">
        <v>325</v>
      </c>
      <c r="L53" s="4" t="s">
        <v>168</v>
      </c>
      <c r="M53" s="4" t="str">
        <f t="shared" si="3"/>
        <v>Argentina</v>
      </c>
      <c r="N53" s="4" t="s">
        <v>106</v>
      </c>
      <c r="O53" s="4" t="s">
        <v>40</v>
      </c>
      <c r="P53" s="4" t="s">
        <v>58</v>
      </c>
      <c r="Q53" s="4" t="str">
        <f t="shared" si="4"/>
        <v>Lost</v>
      </c>
      <c r="R53" s="9"/>
      <c r="S53" s="10">
        <v>46259.0</v>
      </c>
      <c r="T53" s="10">
        <v>46274.0</v>
      </c>
      <c r="U53" s="4" t="s">
        <v>66</v>
      </c>
    </row>
    <row r="54" ht="15.75" customHeight="1">
      <c r="A54" s="4" t="s">
        <v>326</v>
      </c>
      <c r="B54" s="4" t="s">
        <v>327</v>
      </c>
      <c r="C54" s="4" t="s">
        <v>328</v>
      </c>
      <c r="D54" s="4" t="str">
        <f t="shared" si="1"/>
        <v>natalia.rodriguez44@mail.com</v>
      </c>
      <c r="G54" s="4" t="str">
        <f t="shared" si="2"/>
        <v>Unique</v>
      </c>
      <c r="I54" s="4" t="str">
        <f>IFERROR(__xludf.DUMMYFUNCTION("IF(C54="""",""Missing"",IF(REGEXMATCH(C54,""^[^@\s]+@[^@\s]+\.[^@\s]+$""),""Valid"",""Invalid""))"),"Valid")</f>
        <v>Valid</v>
      </c>
      <c r="J54" s="4" t="s">
        <v>331</v>
      </c>
      <c r="K54" s="4" t="s">
        <v>332</v>
      </c>
      <c r="L54" s="4" t="s">
        <v>126</v>
      </c>
      <c r="M54" s="4" t="str">
        <f t="shared" si="3"/>
        <v>Peru</v>
      </c>
      <c r="N54" s="4" t="s">
        <v>57</v>
      </c>
      <c r="O54" s="4" t="s">
        <v>28</v>
      </c>
      <c r="P54" s="4" t="s">
        <v>29</v>
      </c>
      <c r="Q54" s="4" t="str">
        <f t="shared" si="4"/>
        <v>Contacted</v>
      </c>
      <c r="R54" s="9">
        <v>1200.0</v>
      </c>
      <c r="S54" s="10">
        <v>46158.0</v>
      </c>
      <c r="T54" s="10">
        <v>46171.0</v>
      </c>
      <c r="U54" s="4" t="s">
        <v>95</v>
      </c>
    </row>
    <row r="55" ht="15.75" customHeight="1">
      <c r="A55" s="4" t="s">
        <v>335</v>
      </c>
      <c r="B55" s="4" t="s">
        <v>336</v>
      </c>
      <c r="C55" s="4" t="s">
        <v>337</v>
      </c>
      <c r="D55" s="4" t="str">
        <f t="shared" si="1"/>
        <v>maria.rodriguez23@gmail.com</v>
      </c>
      <c r="G55" s="4" t="str">
        <f t="shared" si="2"/>
        <v>Unique</v>
      </c>
      <c r="I55" s="4" t="str">
        <f>IFERROR(__xludf.DUMMYFUNCTION("IF(C55="""",""Missing"",IF(REGEXMATCH(C55,""^[^@\s]+@[^@\s]+\.[^@\s]+$""),""Valid"",""Invalid""))"),"Valid")</f>
        <v>Valid</v>
      </c>
      <c r="J55" s="4" t="s">
        <v>338</v>
      </c>
      <c r="K55" s="4" t="s">
        <v>339</v>
      </c>
      <c r="L55" s="4" t="s">
        <v>211</v>
      </c>
      <c r="M55" s="4" t="str">
        <f t="shared" si="3"/>
        <v>Mexico</v>
      </c>
      <c r="N55" s="4" t="s">
        <v>48</v>
      </c>
      <c r="O55" s="4" t="s">
        <v>217</v>
      </c>
      <c r="P55" s="4" t="s">
        <v>58</v>
      </c>
      <c r="Q55" s="4" t="str">
        <f t="shared" si="4"/>
        <v>Lost</v>
      </c>
      <c r="R55" s="9">
        <v>900.0</v>
      </c>
      <c r="S55" s="10">
        <v>46029.0</v>
      </c>
      <c r="T55" s="10">
        <v>46064.0</v>
      </c>
      <c r="U55" s="4" t="s">
        <v>30</v>
      </c>
    </row>
    <row r="56" ht="15.75" customHeight="1">
      <c r="A56" s="4" t="s">
        <v>341</v>
      </c>
      <c r="B56" s="4" t="s">
        <v>342</v>
      </c>
      <c r="C56" s="4" t="s">
        <v>343</v>
      </c>
      <c r="D56" s="4" t="str">
        <f t="shared" si="1"/>
        <v>ricardo.morales60@mail.com</v>
      </c>
      <c r="G56" s="4" t="str">
        <f t="shared" si="2"/>
        <v>Unique</v>
      </c>
      <c r="I56" s="4" t="str">
        <f>IFERROR(__xludf.DUMMYFUNCTION("IF(C56="""",""Missing"",IF(REGEXMATCH(C56,""^[^@\s]+@[^@\s]+\.[^@\s]+$""),""Valid"",""Invalid""))"),"Valid")</f>
        <v>Valid</v>
      </c>
      <c r="J56" s="4" t="s">
        <v>346</v>
      </c>
      <c r="K56" s="4" t="s">
        <v>347</v>
      </c>
      <c r="L56" s="4" t="s">
        <v>151</v>
      </c>
      <c r="M56" s="4" t="str">
        <f t="shared" si="3"/>
        <v>El Salvador</v>
      </c>
      <c r="N56" s="4" t="s">
        <v>133</v>
      </c>
      <c r="O56" s="4" t="s">
        <v>49</v>
      </c>
      <c r="P56" s="4" t="s">
        <v>134</v>
      </c>
      <c r="Q56" s="4" t="str">
        <f t="shared" si="4"/>
        <v>Qualified</v>
      </c>
      <c r="R56" s="9">
        <v>2000.0</v>
      </c>
      <c r="S56" s="10">
        <v>46264.0</v>
      </c>
      <c r="T56" s="10"/>
      <c r="U56" s="4" t="s">
        <v>107</v>
      </c>
    </row>
    <row r="57" ht="15.75" customHeight="1">
      <c r="A57" s="4" t="s">
        <v>349</v>
      </c>
      <c r="B57" s="4" t="s">
        <v>128</v>
      </c>
      <c r="C57" s="4" t="s">
        <v>350</v>
      </c>
      <c r="D57" s="4" t="str">
        <f t="shared" si="1"/>
        <v>javier.martinez58@mail.com</v>
      </c>
      <c r="G57" s="4" t="str">
        <f t="shared" si="2"/>
        <v>Unique</v>
      </c>
      <c r="I57" s="4" t="str">
        <f>IFERROR(__xludf.DUMMYFUNCTION("IF(C57="""",""Missing"",IF(REGEXMATCH(C57,""^[^@\s]+@[^@\s]+\.[^@\s]+$""),""Valid"",""Invalid""))"),"Valid")</f>
        <v>Valid</v>
      </c>
      <c r="J57" s="4" t="s">
        <v>355</v>
      </c>
      <c r="K57" s="4" t="s">
        <v>282</v>
      </c>
      <c r="L57" s="4" t="s">
        <v>132</v>
      </c>
      <c r="M57" s="4" t="str">
        <f t="shared" si="3"/>
        <v>Argentina</v>
      </c>
      <c r="N57" s="4" t="s">
        <v>57</v>
      </c>
      <c r="O57" s="4" t="s">
        <v>217</v>
      </c>
      <c r="P57" s="4" t="s">
        <v>77</v>
      </c>
      <c r="Q57" s="4" t="str">
        <f t="shared" si="4"/>
        <v>Proposal Sent</v>
      </c>
      <c r="R57" s="9">
        <v>4500.0</v>
      </c>
      <c r="S57" s="10">
        <v>46135.0</v>
      </c>
      <c r="T57" s="10">
        <v>46172.0</v>
      </c>
      <c r="U57" s="4" t="s">
        <v>107</v>
      </c>
    </row>
    <row r="58" ht="15.75" customHeight="1">
      <c r="A58" s="4" t="s">
        <v>356</v>
      </c>
      <c r="B58" s="4" t="s">
        <v>357</v>
      </c>
      <c r="C58" s="4" t="s">
        <v>358</v>
      </c>
      <c r="D58" s="4" t="str">
        <f t="shared" si="1"/>
        <v>patricia.castro89@mail.com</v>
      </c>
      <c r="G58" s="4" t="str">
        <f t="shared" si="2"/>
        <v>Unique</v>
      </c>
      <c r="I58" s="4" t="str">
        <f>IFERROR(__xludf.DUMMYFUNCTION("IF(C58="""",""Missing"",IF(REGEXMATCH(C58,""^[^@\s]+@[^@\s]+\.[^@\s]+$""),""Valid"",""Invalid""))"),"Valid")</f>
        <v>Valid</v>
      </c>
      <c r="J58" s="4" t="s">
        <v>359</v>
      </c>
      <c r="K58" s="4" t="s">
        <v>360</v>
      </c>
      <c r="L58" s="4" t="s">
        <v>361</v>
      </c>
      <c r="M58" s="4" t="str">
        <f t="shared" si="3"/>
        <v>Mexico</v>
      </c>
      <c r="N58" s="4" t="s">
        <v>27</v>
      </c>
      <c r="O58" s="4" t="s">
        <v>40</v>
      </c>
      <c r="P58" s="4" t="s">
        <v>362</v>
      </c>
      <c r="Q58" s="4" t="str">
        <f t="shared" si="4"/>
        <v>New</v>
      </c>
      <c r="R58" s="9">
        <v>4500.0</v>
      </c>
      <c r="S58" s="10">
        <v>46066.0</v>
      </c>
      <c r="T58" s="10">
        <v>46107.0</v>
      </c>
      <c r="U58" s="4" t="s">
        <v>41</v>
      </c>
    </row>
    <row r="59" ht="15.75" customHeight="1">
      <c r="A59" s="4" t="s">
        <v>363</v>
      </c>
      <c r="B59" s="4" t="s">
        <v>364</v>
      </c>
      <c r="C59" s="4" t="s">
        <v>365</v>
      </c>
      <c r="D59" s="4" t="str">
        <f t="shared" si="1"/>
        <v>andres.morales46@company.com</v>
      </c>
      <c r="G59" s="4" t="str">
        <f t="shared" si="2"/>
        <v>Unique</v>
      </c>
      <c r="I59" s="4" t="str">
        <f>IFERROR(__xludf.DUMMYFUNCTION("IF(C59="""",""Missing"",IF(REGEXMATCH(C59,""^[^@\s]+@[^@\s]+\.[^@\s]+$""),""Valid"",""Invalid""))"),"Valid")</f>
        <v>Valid</v>
      </c>
      <c r="J59" s="4" t="s">
        <v>366</v>
      </c>
      <c r="K59" s="4" t="s">
        <v>367</v>
      </c>
      <c r="L59" s="4" t="s">
        <v>283</v>
      </c>
      <c r="M59" s="4" t="str">
        <f t="shared" si="3"/>
        <v>Colombia</v>
      </c>
      <c r="N59" s="4" t="s">
        <v>106</v>
      </c>
      <c r="O59" s="4" t="s">
        <v>40</v>
      </c>
      <c r="P59" s="4" t="s">
        <v>77</v>
      </c>
      <c r="Q59" s="4" t="str">
        <f t="shared" si="4"/>
        <v>Proposal Sent</v>
      </c>
      <c r="R59" s="9">
        <v>1200.0</v>
      </c>
      <c r="S59" s="10">
        <v>46255.0</v>
      </c>
      <c r="T59" s="10">
        <v>46290.0</v>
      </c>
      <c r="U59" s="4" t="s">
        <v>41</v>
      </c>
    </row>
    <row r="60" ht="15.75" customHeight="1">
      <c r="A60" s="4" t="s">
        <v>368</v>
      </c>
      <c r="B60" s="4" t="s">
        <v>369</v>
      </c>
      <c r="C60" s="4" t="s">
        <v>370</v>
      </c>
      <c r="D60" s="4" t="str">
        <f t="shared" si="1"/>
        <v>fernando.diaz13@mail.com</v>
      </c>
      <c r="G60" s="4" t="str">
        <f t="shared" si="2"/>
        <v>Unique</v>
      </c>
      <c r="I60" s="4" t="str">
        <f>IFERROR(__xludf.DUMMYFUNCTION("IF(C60="""",""Missing"",IF(REGEXMATCH(C60,""^[^@\s]+@[^@\s]+\.[^@\s]+$""),""Valid"",""Invalid""))"),"Valid")</f>
        <v>Valid</v>
      </c>
      <c r="J60" s="4" t="s">
        <v>371</v>
      </c>
      <c r="K60" s="4" t="s">
        <v>156</v>
      </c>
      <c r="L60" s="4" t="s">
        <v>283</v>
      </c>
      <c r="M60" s="4" t="str">
        <f t="shared" si="3"/>
        <v>Colombia</v>
      </c>
      <c r="N60" s="4" t="s">
        <v>57</v>
      </c>
      <c r="O60" s="4" t="s">
        <v>49</v>
      </c>
      <c r="P60" s="4" t="s">
        <v>77</v>
      </c>
      <c r="Q60" s="4" t="str">
        <f t="shared" si="4"/>
        <v>Proposal Sent</v>
      </c>
      <c r="R60" s="9">
        <v>500.0</v>
      </c>
      <c r="S60" s="10">
        <v>46216.0</v>
      </c>
      <c r="T60" s="10">
        <v>46239.0</v>
      </c>
    </row>
    <row r="61" ht="15.75" customHeight="1">
      <c r="A61" s="4" t="s">
        <v>372</v>
      </c>
      <c r="B61" s="4" t="s">
        <v>373</v>
      </c>
      <c r="C61" s="4" t="s">
        <v>374</v>
      </c>
      <c r="D61" s="4" t="str">
        <f t="shared" si="1"/>
        <v>jose.gomez22@gmail.com</v>
      </c>
      <c r="G61" s="4" t="str">
        <f t="shared" si="2"/>
        <v>Duplicate</v>
      </c>
      <c r="I61" s="4" t="str">
        <f>IFERROR(__xludf.DUMMYFUNCTION("IF(C61="""",""Missing"",IF(REGEXMATCH(C61,""^[^@\s]+@[^@\s]+\.[^@\s]+$""),""Valid"",""Invalid""))"),"Valid")</f>
        <v>Valid</v>
      </c>
      <c r="J61" s="4" t="s">
        <v>375</v>
      </c>
      <c r="K61" s="4" t="s">
        <v>376</v>
      </c>
      <c r="L61" s="4" t="s">
        <v>162</v>
      </c>
      <c r="M61" s="4" t="str">
        <f t="shared" si="3"/>
        <v>United States</v>
      </c>
      <c r="N61" s="4" t="s">
        <v>48</v>
      </c>
      <c r="O61" s="4" t="s">
        <v>76</v>
      </c>
      <c r="P61" s="4" t="s">
        <v>58</v>
      </c>
      <c r="Q61" s="4" t="str">
        <f t="shared" si="4"/>
        <v>Lost</v>
      </c>
      <c r="R61" s="9">
        <v>350.0</v>
      </c>
      <c r="S61" s="10">
        <v>46191.0</v>
      </c>
      <c r="T61" s="10">
        <v>46214.0</v>
      </c>
    </row>
    <row r="62" ht="15.75" customHeight="1">
      <c r="A62" s="4" t="s">
        <v>377</v>
      </c>
      <c r="B62" s="4" t="s">
        <v>327</v>
      </c>
      <c r="C62" s="4" t="s">
        <v>379</v>
      </c>
      <c r="D62" s="4" t="str">
        <f t="shared" si="1"/>
        <v>natalia.rodriguez3 @ company.com</v>
      </c>
      <c r="E62" s="11" t="s">
        <v>188</v>
      </c>
      <c r="F62" s="18" t="s">
        <v>380</v>
      </c>
      <c r="G62" s="4" t="str">
        <f t="shared" si="2"/>
        <v>Unique</v>
      </c>
      <c r="I62" s="4" t="str">
        <f>IFERROR(__xludf.DUMMYFUNCTION("IF(C62="""",""Missing"",IF(REGEXMATCH(C62,""^[^@\s]+@[^@\s]+\.[^@\s]+$""),""Valid"",""Invalid""))"),"Invalid")</f>
        <v>Invalid</v>
      </c>
      <c r="J62" s="4" t="s">
        <v>381</v>
      </c>
      <c r="K62" s="4" t="s">
        <v>382</v>
      </c>
      <c r="L62" s="4" t="s">
        <v>211</v>
      </c>
      <c r="M62" s="4" t="str">
        <f t="shared" si="3"/>
        <v>Mexico</v>
      </c>
      <c r="N62" s="4" t="s">
        <v>27</v>
      </c>
      <c r="O62" s="4" t="s">
        <v>49</v>
      </c>
      <c r="P62" s="4" t="s">
        <v>50</v>
      </c>
      <c r="Q62" s="4" t="str">
        <f t="shared" si="4"/>
        <v>New</v>
      </c>
      <c r="R62" s="9">
        <v>2000.0</v>
      </c>
      <c r="S62" s="10">
        <v>46230.0</v>
      </c>
      <c r="T62" s="10">
        <v>46274.0</v>
      </c>
      <c r="U62" s="4" t="s">
        <v>66</v>
      </c>
    </row>
    <row r="63" ht="15.75" customHeight="1">
      <c r="A63" s="4" t="s">
        <v>383</v>
      </c>
      <c r="B63" s="4" t="s">
        <v>384</v>
      </c>
      <c r="C63" s="4" t="s">
        <v>385</v>
      </c>
      <c r="D63" s="4" t="str">
        <f t="shared" si="1"/>
        <v>javier.flores94@company.com</v>
      </c>
      <c r="G63" s="4" t="str">
        <f t="shared" si="2"/>
        <v>Unique</v>
      </c>
      <c r="I63" s="4" t="str">
        <f>IFERROR(__xludf.DUMMYFUNCTION("IF(C63="""",""Missing"",IF(REGEXMATCH(C63,""^[^@\s]+@[^@\s]+\.[^@\s]+$""),""Valid"",""Invalid""))"),"Valid")</f>
        <v>Valid</v>
      </c>
      <c r="J63" s="4" t="s">
        <v>386</v>
      </c>
      <c r="K63" s="4" t="s">
        <v>387</v>
      </c>
      <c r="L63" s="4" t="s">
        <v>132</v>
      </c>
      <c r="M63" s="4" t="str">
        <f t="shared" si="3"/>
        <v>Argentina</v>
      </c>
      <c r="N63" s="4" t="s">
        <v>133</v>
      </c>
      <c r="O63" s="4" t="s">
        <v>217</v>
      </c>
      <c r="P63" s="4" t="s">
        <v>29</v>
      </c>
      <c r="Q63" s="4" t="str">
        <f t="shared" si="4"/>
        <v>Contacted</v>
      </c>
      <c r="R63" s="9">
        <v>2500.0</v>
      </c>
      <c r="S63" s="10">
        <v>46246.0</v>
      </c>
      <c r="T63" s="10">
        <v>46282.0</v>
      </c>
      <c r="U63" s="4" t="s">
        <v>30</v>
      </c>
    </row>
    <row r="64" ht="15.75" customHeight="1">
      <c r="A64" s="4" t="s">
        <v>388</v>
      </c>
      <c r="B64" s="4" t="s">
        <v>389</v>
      </c>
      <c r="C64" s="4" t="s">
        <v>390</v>
      </c>
      <c r="D64" s="4" t="str">
        <f t="shared" si="1"/>
        <v>isabel.hernandez64@outlook.com</v>
      </c>
      <c r="G64" s="4" t="str">
        <f t="shared" si="2"/>
        <v>Unique</v>
      </c>
      <c r="I64" s="4" t="str">
        <f>IFERROR(__xludf.DUMMYFUNCTION("IF(C64="""",""Missing"",IF(REGEXMATCH(C64,""^[^@\s]+@[^@\s]+\.[^@\s]+$""),""Valid"",""Invalid""))"),"Valid")</f>
        <v>Valid</v>
      </c>
      <c r="J64" s="4" t="s">
        <v>391</v>
      </c>
      <c r="K64" s="4" t="s">
        <v>392</v>
      </c>
      <c r="L64" s="4" t="s">
        <v>26</v>
      </c>
      <c r="M64" s="4" t="str">
        <f t="shared" si="3"/>
        <v>Chile</v>
      </c>
      <c r="N64" s="4" t="s">
        <v>27</v>
      </c>
      <c r="O64" s="4" t="s">
        <v>28</v>
      </c>
      <c r="P64" s="4" t="s">
        <v>77</v>
      </c>
      <c r="Q64" s="4" t="str">
        <f t="shared" si="4"/>
        <v>Proposal Sent</v>
      </c>
      <c r="R64" s="9">
        <v>2000.0</v>
      </c>
      <c r="S64" s="10">
        <v>46116.0</v>
      </c>
      <c r="T64" s="10">
        <v>46132.0</v>
      </c>
      <c r="U64" s="4" t="s">
        <v>41</v>
      </c>
    </row>
    <row r="65" ht="15.75" customHeight="1">
      <c r="A65" s="4" t="s">
        <v>393</v>
      </c>
      <c r="B65" s="4" t="s">
        <v>394</v>
      </c>
      <c r="D65" s="4" t="str">
        <f t="shared" si="1"/>
        <v/>
      </c>
      <c r="G65" s="4" t="str">
        <f t="shared" si="2"/>
        <v>Missing Email</v>
      </c>
      <c r="I65" s="4" t="str">
        <f>IFERROR(__xludf.DUMMYFUNCTION("IF(C65="""",""Missing"",IF(REGEXMATCH(C65,""^[^@\s]+@[^@\s]+\.[^@\s]+$""),""Valid"",""Invalid""))"),"Missing")</f>
        <v>Missing</v>
      </c>
      <c r="J65" s="4" t="s">
        <v>395</v>
      </c>
      <c r="K65" s="4" t="s">
        <v>131</v>
      </c>
      <c r="L65" s="4" t="s">
        <v>132</v>
      </c>
      <c r="M65" s="4" t="str">
        <f t="shared" si="3"/>
        <v>Argentina</v>
      </c>
      <c r="N65" s="4" t="s">
        <v>27</v>
      </c>
      <c r="O65" s="4" t="s">
        <v>49</v>
      </c>
      <c r="P65" s="4" t="s">
        <v>77</v>
      </c>
      <c r="Q65" s="4" t="str">
        <f t="shared" si="4"/>
        <v>Proposal Sent</v>
      </c>
      <c r="R65" s="9">
        <v>900.0</v>
      </c>
      <c r="S65" s="10">
        <v>46230.0</v>
      </c>
      <c r="T65" s="10">
        <v>46248.0</v>
      </c>
    </row>
    <row r="66" ht="15.75" customHeight="1">
      <c r="A66" s="4" t="s">
        <v>396</v>
      </c>
      <c r="B66" s="4" t="s">
        <v>397</v>
      </c>
      <c r="C66" s="4" t="s">
        <v>398</v>
      </c>
      <c r="D66" s="4" t="str">
        <f t="shared" si="1"/>
        <v>carlos.lopez95@outlook.com</v>
      </c>
      <c r="G66" s="4" t="str">
        <f t="shared" si="2"/>
        <v>Unique</v>
      </c>
      <c r="I66" s="4" t="str">
        <f>IFERROR(__xludf.DUMMYFUNCTION("IF(C66="""",""Missing"",IF(REGEXMATCH(C66,""^[^@\s]+@[^@\s]+\.[^@\s]+$""),""Valid"",""Invalid""))"),"Valid")</f>
        <v>Valid</v>
      </c>
      <c r="J66" s="4" t="s">
        <v>399</v>
      </c>
      <c r="K66" s="4" t="s">
        <v>400</v>
      </c>
      <c r="L66" s="4" t="s">
        <v>126</v>
      </c>
      <c r="M66" s="4" t="str">
        <f t="shared" si="3"/>
        <v>Peru</v>
      </c>
      <c r="N66" s="4" t="s">
        <v>106</v>
      </c>
      <c r="O66" s="4" t="s">
        <v>217</v>
      </c>
      <c r="P66" s="4" t="s">
        <v>58</v>
      </c>
      <c r="Q66" s="4" t="str">
        <f t="shared" si="4"/>
        <v>Lost</v>
      </c>
      <c r="R66" s="9">
        <v>350.0</v>
      </c>
      <c r="S66" s="10">
        <v>46261.0</v>
      </c>
      <c r="T66" s="10"/>
      <c r="U66" s="4" t="s">
        <v>30</v>
      </c>
    </row>
    <row r="67" ht="15.75" customHeight="1">
      <c r="A67" s="4" t="s">
        <v>401</v>
      </c>
      <c r="B67" s="4" t="s">
        <v>402</v>
      </c>
      <c r="C67" s="4" t="s">
        <v>403</v>
      </c>
      <c r="D67" s="4" t="str">
        <f t="shared" si="1"/>
        <v>elena.torres41@mail.com</v>
      </c>
      <c r="G67" s="4" t="str">
        <f t="shared" si="2"/>
        <v>Unique</v>
      </c>
      <c r="I67" s="4" t="str">
        <f>IFERROR(__xludf.DUMMYFUNCTION("IF(C67="""",""Missing"",IF(REGEXMATCH(C67,""^[^@\s]+@[^@\s]+\.[^@\s]+$""),""Valid"",""Invalid""))"),"Valid")</f>
        <v>Valid</v>
      </c>
      <c r="J67" s="4" t="s">
        <v>404</v>
      </c>
      <c r="K67" s="4" t="s">
        <v>405</v>
      </c>
      <c r="L67" s="4" t="s">
        <v>205</v>
      </c>
      <c r="M67" s="4" t="str">
        <f t="shared" si="3"/>
        <v>Chile</v>
      </c>
      <c r="N67" s="4" t="s">
        <v>57</v>
      </c>
      <c r="O67" s="4" t="s">
        <v>76</v>
      </c>
      <c r="P67" s="4" t="s">
        <v>65</v>
      </c>
      <c r="Q67" s="4" t="str">
        <f t="shared" si="4"/>
        <v>Won</v>
      </c>
      <c r="R67" s="9">
        <v>2500.0</v>
      </c>
      <c r="S67" s="10">
        <v>46097.0</v>
      </c>
      <c r="T67" s="10">
        <v>46104.0</v>
      </c>
      <c r="U67" s="4" t="s">
        <v>30</v>
      </c>
    </row>
    <row r="68" ht="15.75" customHeight="1">
      <c r="A68" s="4" t="s">
        <v>406</v>
      </c>
      <c r="B68" s="4" t="s">
        <v>407</v>
      </c>
      <c r="C68" s="4" t="s">
        <v>408</v>
      </c>
      <c r="D68" s="4" t="str">
        <f t="shared" si="1"/>
        <v>camila.hernandez7@gmail.com</v>
      </c>
      <c r="G68" s="4" t="str">
        <f t="shared" si="2"/>
        <v>Unique</v>
      </c>
      <c r="I68" s="4" t="str">
        <f>IFERROR(__xludf.DUMMYFUNCTION("IF(C68="""",""Missing"",IF(REGEXMATCH(C68,""^[^@\s]+@[^@\s]+\.[^@\s]+$""),""Valid"",""Invalid""))"),"Valid")</f>
        <v>Valid</v>
      </c>
      <c r="J68" s="4" t="s">
        <v>409</v>
      </c>
      <c r="K68" s="4" t="s">
        <v>293</v>
      </c>
      <c r="L68" s="4" t="s">
        <v>47</v>
      </c>
      <c r="M68" s="4" t="str">
        <f t="shared" si="3"/>
        <v>El Salvador</v>
      </c>
      <c r="N68" s="4" t="s">
        <v>48</v>
      </c>
      <c r="O68" s="4" t="s">
        <v>28</v>
      </c>
      <c r="P68" s="4" t="s">
        <v>77</v>
      </c>
      <c r="Q68" s="4" t="str">
        <f t="shared" si="4"/>
        <v>Proposal Sent</v>
      </c>
      <c r="R68" s="9">
        <v>350.0</v>
      </c>
      <c r="S68" s="10">
        <v>46209.0</v>
      </c>
      <c r="T68" s="10">
        <v>46253.0</v>
      </c>
      <c r="U68" s="4" t="s">
        <v>41</v>
      </c>
    </row>
    <row r="69" ht="15.75" customHeight="1">
      <c r="A69" s="4" t="s">
        <v>410</v>
      </c>
      <c r="B69" s="4" t="s">
        <v>411</v>
      </c>
      <c r="C69" s="4" t="s">
        <v>412</v>
      </c>
      <c r="D69" s="4" t="str">
        <f t="shared" si="1"/>
        <v>elena.vargas90@company.com</v>
      </c>
      <c r="G69" s="4" t="str">
        <f t="shared" si="2"/>
        <v>Unique</v>
      </c>
      <c r="I69" s="4" t="str">
        <f>IFERROR(__xludf.DUMMYFUNCTION("IF(C69="""",""Missing"",IF(REGEXMATCH(C69,""^[^@\s]+@[^@\s]+\.[^@\s]+$""),""Valid"",""Invalid""))"),"Valid")</f>
        <v>Valid</v>
      </c>
      <c r="J69" s="4" t="s">
        <v>413</v>
      </c>
      <c r="K69" s="4" t="s">
        <v>414</v>
      </c>
      <c r="L69" s="4" t="s">
        <v>56</v>
      </c>
      <c r="M69" s="4" t="str">
        <f t="shared" si="3"/>
        <v>Argentina</v>
      </c>
      <c r="N69" s="4" t="s">
        <v>133</v>
      </c>
      <c r="O69" s="4" t="s">
        <v>76</v>
      </c>
      <c r="P69" s="4" t="s">
        <v>58</v>
      </c>
      <c r="Q69" s="4" t="str">
        <f t="shared" si="4"/>
        <v>Lost</v>
      </c>
      <c r="R69" s="9">
        <v>3000.0</v>
      </c>
      <c r="S69" s="10">
        <v>46239.0</v>
      </c>
      <c r="T69" s="10">
        <v>46255.0</v>
      </c>
      <c r="U69" s="4" t="s">
        <v>66</v>
      </c>
    </row>
    <row r="70" ht="15.75" customHeight="1">
      <c r="A70" s="4" t="s">
        <v>415</v>
      </c>
      <c r="B70" s="4" t="s">
        <v>416</v>
      </c>
      <c r="C70" s="4" t="s">
        <v>417</v>
      </c>
      <c r="D70" s="4" t="str">
        <f t="shared" si="1"/>
        <v>andres.gomez55@mail.com</v>
      </c>
      <c r="G70" s="4" t="str">
        <f t="shared" si="2"/>
        <v>Unique</v>
      </c>
      <c r="I70" s="4" t="str">
        <f>IFERROR(__xludf.DUMMYFUNCTION("IF(C70="""",""Missing"",IF(REGEXMATCH(C70,""^[^@\s]+@[^@\s]+\.[^@\s]+$""),""Valid"",""Invalid""))"),"Valid")</f>
        <v>Valid</v>
      </c>
      <c r="J70" s="4" t="s">
        <v>418</v>
      </c>
      <c r="K70" s="4" t="s">
        <v>419</v>
      </c>
      <c r="L70" s="4" t="s">
        <v>151</v>
      </c>
      <c r="M70" s="4" t="str">
        <f t="shared" si="3"/>
        <v>El Salvador</v>
      </c>
      <c r="N70" s="4" t="s">
        <v>106</v>
      </c>
      <c r="O70" s="4" t="s">
        <v>76</v>
      </c>
      <c r="P70" s="4" t="s">
        <v>29</v>
      </c>
      <c r="Q70" s="4" t="str">
        <f t="shared" si="4"/>
        <v>Contacted</v>
      </c>
      <c r="R70" s="9">
        <v>1200.0</v>
      </c>
      <c r="S70" s="10">
        <v>46239.0</v>
      </c>
      <c r="T70" s="10">
        <v>46261.0</v>
      </c>
      <c r="U70" s="4" t="s">
        <v>95</v>
      </c>
    </row>
    <row r="71" ht="15.75" customHeight="1">
      <c r="A71" s="4" t="s">
        <v>420</v>
      </c>
      <c r="B71" s="4" t="s">
        <v>421</v>
      </c>
      <c r="C71" s="4" t="s">
        <v>422</v>
      </c>
      <c r="D71" s="4" t="str">
        <f t="shared" si="1"/>
        <v>laura.martinez8@company.com</v>
      </c>
      <c r="G71" s="4" t="str">
        <f t="shared" si="2"/>
        <v>Unique</v>
      </c>
      <c r="I71" s="4" t="str">
        <f>IFERROR(__xludf.DUMMYFUNCTION("IF(C71="""",""Missing"",IF(REGEXMATCH(C71,""^[^@\s]+@[^@\s]+\.[^@\s]+$""),""Valid"",""Invalid""))"),"Valid")</f>
        <v>Valid</v>
      </c>
      <c r="J71" s="4" t="s">
        <v>423</v>
      </c>
      <c r="K71" s="4" t="s">
        <v>424</v>
      </c>
      <c r="L71" s="4" t="s">
        <v>205</v>
      </c>
      <c r="M71" s="4" t="str">
        <f t="shared" si="3"/>
        <v>Chile</v>
      </c>
      <c r="N71" s="4" t="s">
        <v>133</v>
      </c>
      <c r="O71" s="4" t="s">
        <v>28</v>
      </c>
      <c r="P71" s="4" t="s">
        <v>65</v>
      </c>
      <c r="Q71" s="4" t="str">
        <f t="shared" si="4"/>
        <v>Won</v>
      </c>
      <c r="R71" s="9">
        <v>2000.0</v>
      </c>
      <c r="S71" s="10">
        <v>46162.0</v>
      </c>
      <c r="T71" s="10">
        <v>46178.0</v>
      </c>
      <c r="U71" s="4" t="s">
        <v>30</v>
      </c>
    </row>
    <row r="72" ht="15.75" customHeight="1">
      <c r="A72" s="4" t="s">
        <v>425</v>
      </c>
      <c r="B72" s="4" t="s">
        <v>426</v>
      </c>
      <c r="C72" s="4" t="s">
        <v>427</v>
      </c>
      <c r="D72" s="4" t="str">
        <f t="shared" si="1"/>
        <v>david.ortiz26@mail.com</v>
      </c>
      <c r="G72" s="4" t="str">
        <f t="shared" si="2"/>
        <v>Unique</v>
      </c>
      <c r="I72" s="4" t="str">
        <f>IFERROR(__xludf.DUMMYFUNCTION("IF(C72="""",""Missing"",IF(REGEXMATCH(C72,""^[^@\s]+@[^@\s]+\.[^@\s]+$""),""Valid"",""Invalid""))"),"Valid")</f>
        <v>Valid</v>
      </c>
      <c r="J72" s="4" t="s">
        <v>428</v>
      </c>
      <c r="K72" s="4" t="s">
        <v>429</v>
      </c>
      <c r="L72" s="4" t="s">
        <v>75</v>
      </c>
      <c r="M72" s="4" t="str">
        <f t="shared" si="3"/>
        <v>United States</v>
      </c>
      <c r="N72" s="4" t="s">
        <v>39</v>
      </c>
      <c r="O72" s="4" t="s">
        <v>217</v>
      </c>
      <c r="P72" s="4" t="s">
        <v>65</v>
      </c>
      <c r="Q72" s="4" t="str">
        <f t="shared" si="4"/>
        <v>Won</v>
      </c>
      <c r="R72" s="9">
        <v>3000.0</v>
      </c>
      <c r="S72" s="10">
        <v>46031.0</v>
      </c>
      <c r="T72" s="10">
        <v>46043.0</v>
      </c>
      <c r="U72" s="4" t="s">
        <v>95</v>
      </c>
    </row>
    <row r="73" ht="15.75" customHeight="1">
      <c r="A73" s="4" t="s">
        <v>430</v>
      </c>
      <c r="B73" s="4" t="s">
        <v>373</v>
      </c>
      <c r="C73" s="4" t="s">
        <v>374</v>
      </c>
      <c r="D73" s="4" t="str">
        <f t="shared" si="1"/>
        <v>jose.gomez22@gmail.com</v>
      </c>
      <c r="G73" s="4" t="str">
        <f t="shared" si="2"/>
        <v>Duplicate</v>
      </c>
      <c r="H73" s="11" t="s">
        <v>69</v>
      </c>
      <c r="I73" s="4" t="str">
        <f>IFERROR(__xludf.DUMMYFUNCTION("IF(C73="""",""Missing"",IF(REGEXMATCH(C73,""^[^@\s]+@[^@\s]+\.[^@\s]+$""),""Valid"",""Invalid""))"),"Valid")</f>
        <v>Valid</v>
      </c>
      <c r="J73" s="4" t="s">
        <v>375</v>
      </c>
      <c r="K73" s="4" t="s">
        <v>376</v>
      </c>
      <c r="L73" s="4" t="s">
        <v>162</v>
      </c>
      <c r="M73" s="4" t="str">
        <f t="shared" si="3"/>
        <v>United States</v>
      </c>
      <c r="N73" s="4" t="s">
        <v>48</v>
      </c>
      <c r="O73" s="4" t="s">
        <v>76</v>
      </c>
      <c r="P73" s="4" t="s">
        <v>58</v>
      </c>
      <c r="Q73" s="4" t="str">
        <f t="shared" si="4"/>
        <v>Lost</v>
      </c>
      <c r="R73" s="9">
        <v>350.0</v>
      </c>
      <c r="S73" s="10">
        <v>46191.0</v>
      </c>
      <c r="T73" s="10">
        <v>46214.0</v>
      </c>
    </row>
    <row r="74" ht="15.75" customHeight="1">
      <c r="A74" s="4" t="s">
        <v>431</v>
      </c>
      <c r="B74" s="4" t="s">
        <v>432</v>
      </c>
      <c r="C74" s="4" t="s">
        <v>433</v>
      </c>
      <c r="D74" s="4" t="str">
        <f t="shared" si="1"/>
        <v>ricardo.lopez5@mail.com</v>
      </c>
      <c r="G74" s="4" t="str">
        <f t="shared" si="2"/>
        <v>Unique</v>
      </c>
      <c r="I74" s="4" t="str">
        <f>IFERROR(__xludf.DUMMYFUNCTION("IF(C74="""",""Missing"",IF(REGEXMATCH(C74,""^[^@\s]+@[^@\s]+\.[^@\s]+$""),""Valid"",""Invalid""))"),"Valid")</f>
        <v>Valid</v>
      </c>
      <c r="J74" s="4" t="s">
        <v>434</v>
      </c>
      <c r="L74" s="4" t="s">
        <v>88</v>
      </c>
      <c r="M74" s="4" t="str">
        <f t="shared" si="3"/>
        <v>El Salvador</v>
      </c>
      <c r="N74" s="4" t="s">
        <v>133</v>
      </c>
      <c r="O74" s="4" t="s">
        <v>28</v>
      </c>
      <c r="P74" s="4" t="s">
        <v>134</v>
      </c>
      <c r="Q74" s="4" t="str">
        <f t="shared" si="4"/>
        <v>Qualified</v>
      </c>
      <c r="R74" s="9">
        <v>2500.0</v>
      </c>
      <c r="S74" s="10">
        <v>46125.0</v>
      </c>
      <c r="T74" s="10">
        <v>46150.0</v>
      </c>
      <c r="U74" s="4" t="s">
        <v>30</v>
      </c>
    </row>
    <row r="75" ht="15.75" customHeight="1">
      <c r="A75" s="4" t="s">
        <v>435</v>
      </c>
      <c r="B75" s="4" t="s">
        <v>436</v>
      </c>
      <c r="C75" s="4" t="s">
        <v>437</v>
      </c>
      <c r="D75" s="4" t="str">
        <f t="shared" si="1"/>
        <v>carolina.ortiz69@gmail.com</v>
      </c>
      <c r="G75" s="4" t="str">
        <f t="shared" si="2"/>
        <v>Unique</v>
      </c>
      <c r="I75" s="4" t="str">
        <f>IFERROR(__xludf.DUMMYFUNCTION("IF(C75="""",""Missing"",IF(REGEXMATCH(C75,""^[^@\s]+@[^@\s]+\.[^@\s]+$""),""Valid"",""Invalid""))"),"Valid")</f>
        <v>Valid</v>
      </c>
      <c r="J75" s="4" t="s">
        <v>438</v>
      </c>
      <c r="K75" s="4" t="s">
        <v>439</v>
      </c>
      <c r="L75" s="4" t="s">
        <v>220</v>
      </c>
      <c r="M75" s="4" t="str">
        <f t="shared" si="3"/>
        <v>Spain</v>
      </c>
      <c r="N75" s="4" t="s">
        <v>133</v>
      </c>
      <c r="O75" s="4" t="s">
        <v>40</v>
      </c>
      <c r="P75" s="4" t="s">
        <v>65</v>
      </c>
      <c r="Q75" s="4" t="str">
        <f t="shared" si="4"/>
        <v>Won</v>
      </c>
      <c r="R75" s="9">
        <v>350.0</v>
      </c>
      <c r="S75" s="10">
        <v>46223.0</v>
      </c>
      <c r="T75" s="10">
        <v>46248.0</v>
      </c>
      <c r="U75" s="4" t="s">
        <v>30</v>
      </c>
    </row>
    <row r="76" ht="15.75" customHeight="1">
      <c r="A76" s="4" t="s">
        <v>440</v>
      </c>
      <c r="B76" s="4" t="s">
        <v>441</v>
      </c>
      <c r="C76" s="4" t="s">
        <v>442</v>
      </c>
      <c r="D76" s="4" t="str">
        <f t="shared" si="1"/>
        <v>fernando.ramirez67@company.com</v>
      </c>
      <c r="G76" s="4" t="str">
        <f t="shared" si="2"/>
        <v>Unique</v>
      </c>
      <c r="I76" s="4" t="str">
        <f>IFERROR(__xludf.DUMMYFUNCTION("IF(C76="""",""Missing"",IF(REGEXMATCH(C76,""^[^@\s]+@[^@\s]+\.[^@\s]+$""),""Valid"",""Invalid""))"),"Valid")</f>
        <v>Valid</v>
      </c>
      <c r="K76" s="4" t="s">
        <v>443</v>
      </c>
      <c r="L76" s="4" t="s">
        <v>216</v>
      </c>
      <c r="M76" s="4" t="str">
        <f t="shared" si="3"/>
        <v>Salvador</v>
      </c>
      <c r="N76" s="4" t="s">
        <v>39</v>
      </c>
      <c r="O76" s="4" t="s">
        <v>28</v>
      </c>
      <c r="P76" s="4" t="s">
        <v>29</v>
      </c>
      <c r="Q76" s="4" t="str">
        <f t="shared" si="4"/>
        <v>Contacted</v>
      </c>
      <c r="R76" s="9">
        <v>4500.0</v>
      </c>
      <c r="S76" s="10">
        <v>46085.0</v>
      </c>
      <c r="T76" s="10">
        <v>46117.0</v>
      </c>
      <c r="U76" s="4" t="s">
        <v>107</v>
      </c>
    </row>
    <row r="77" ht="15.75" customHeight="1">
      <c r="A77" s="4" t="s">
        <v>444</v>
      </c>
      <c r="B77" s="4" t="s">
        <v>445</v>
      </c>
      <c r="C77" s="4" t="s">
        <v>446</v>
      </c>
      <c r="D77" s="4" t="str">
        <f t="shared" si="1"/>
        <v>marta.rivera75@outlook.com</v>
      </c>
      <c r="G77" s="4" t="str">
        <f t="shared" si="2"/>
        <v>Unique</v>
      </c>
      <c r="I77" s="4" t="str">
        <f>IFERROR(__xludf.DUMMYFUNCTION("IF(C77="""",""Missing"",IF(REGEXMATCH(C77,""^[^@\s]+@[^@\s]+\.[^@\s]+$""),""Valid"",""Invalid""))"),"Valid")</f>
        <v>Valid</v>
      </c>
      <c r="J77" s="4" t="s">
        <v>447</v>
      </c>
      <c r="K77" s="4" t="s">
        <v>448</v>
      </c>
      <c r="L77" s="4" t="s">
        <v>283</v>
      </c>
      <c r="M77" s="4" t="str">
        <f t="shared" si="3"/>
        <v>Colombia</v>
      </c>
      <c r="N77" s="4" t="s">
        <v>48</v>
      </c>
      <c r="O77" s="4" t="s">
        <v>76</v>
      </c>
      <c r="P77" s="4" t="s">
        <v>50</v>
      </c>
      <c r="Q77" s="4" t="str">
        <f t="shared" si="4"/>
        <v>New</v>
      </c>
      <c r="R77" s="9">
        <v>2000.0</v>
      </c>
      <c r="S77" s="10">
        <v>46197.0</v>
      </c>
      <c r="T77" s="10">
        <v>46199.0</v>
      </c>
      <c r="U77" s="4" t="s">
        <v>41</v>
      </c>
    </row>
    <row r="78" ht="15.75" customHeight="1">
      <c r="A78" s="4" t="s">
        <v>449</v>
      </c>
      <c r="B78" s="4" t="s">
        <v>450</v>
      </c>
      <c r="C78" s="4" t="s">
        <v>451</v>
      </c>
      <c r="D78" s="4" t="str">
        <f t="shared" si="1"/>
        <v>isabel.rivera15@outlook.com</v>
      </c>
      <c r="G78" s="4" t="str">
        <f t="shared" si="2"/>
        <v>Unique</v>
      </c>
      <c r="I78" s="4" t="str">
        <f>IFERROR(__xludf.DUMMYFUNCTION("IF(C78="""",""Missing"",IF(REGEXMATCH(C78,""^[^@\s]+@[^@\s]+\.[^@\s]+$""),""Valid"",""Invalid""))"),"Valid")</f>
        <v>Valid</v>
      </c>
      <c r="J78" s="4" t="s">
        <v>452</v>
      </c>
      <c r="K78" s="4" t="s">
        <v>453</v>
      </c>
      <c r="L78" s="4" t="s">
        <v>454</v>
      </c>
      <c r="M78" s="4" t="str">
        <f t="shared" si="3"/>
        <v>Us</v>
      </c>
      <c r="N78" s="4" t="s">
        <v>27</v>
      </c>
      <c r="O78" s="4" t="s">
        <v>40</v>
      </c>
      <c r="P78" s="4" t="s">
        <v>58</v>
      </c>
      <c r="Q78" s="4" t="str">
        <f t="shared" si="4"/>
        <v>Lost</v>
      </c>
      <c r="R78" s="9">
        <v>500.0</v>
      </c>
      <c r="S78" s="10">
        <v>46150.0</v>
      </c>
      <c r="T78" s="10">
        <v>46194.0</v>
      </c>
      <c r="U78" s="4" t="s">
        <v>95</v>
      </c>
    </row>
    <row r="79" ht="15.75" customHeight="1">
      <c r="A79" s="4" t="s">
        <v>455</v>
      </c>
      <c r="B79" s="4" t="s">
        <v>456</v>
      </c>
      <c r="C79" s="4" t="s">
        <v>457</v>
      </c>
      <c r="D79" s="4" t="str">
        <f t="shared" si="1"/>
        <v>sergio.garcia86@outlook.com</v>
      </c>
      <c r="G79" s="4" t="str">
        <f t="shared" si="2"/>
        <v>Unique</v>
      </c>
      <c r="I79" s="4" t="str">
        <f>IFERROR(__xludf.DUMMYFUNCTION("IF(C79="""",""Missing"",IF(REGEXMATCH(C79,""^[^@\s]+@[^@\s]+\.[^@\s]+$""),""Valid"",""Invalid""))"),"Valid")</f>
        <v>Valid</v>
      </c>
      <c r="J79" s="4" t="s">
        <v>458</v>
      </c>
      <c r="K79" s="4" t="s">
        <v>288</v>
      </c>
      <c r="L79" s="4" t="s">
        <v>283</v>
      </c>
      <c r="M79" s="4" t="str">
        <f t="shared" si="3"/>
        <v>Colombia</v>
      </c>
      <c r="N79" s="4" t="s">
        <v>39</v>
      </c>
      <c r="O79" s="4" t="s">
        <v>40</v>
      </c>
      <c r="P79" s="4" t="s">
        <v>134</v>
      </c>
      <c r="Q79" s="4" t="str">
        <f t="shared" si="4"/>
        <v>Qualified</v>
      </c>
      <c r="R79" s="9">
        <v>750.0</v>
      </c>
      <c r="S79" s="10">
        <v>46061.0</v>
      </c>
      <c r="T79" s="10">
        <v>46069.0</v>
      </c>
      <c r="U79" s="4" t="s">
        <v>107</v>
      </c>
    </row>
    <row r="80" ht="15.75" customHeight="1">
      <c r="A80" s="4" t="s">
        <v>459</v>
      </c>
      <c r="B80" s="4" t="s">
        <v>460</v>
      </c>
      <c r="C80" s="4" t="s">
        <v>461</v>
      </c>
      <c r="D80" s="4" t="str">
        <f t="shared" si="1"/>
        <v>manuel.rodriguez68@gmail.com</v>
      </c>
      <c r="G80" s="4" t="str">
        <f t="shared" si="2"/>
        <v>Unique</v>
      </c>
      <c r="I80" s="4" t="str">
        <f>IFERROR(__xludf.DUMMYFUNCTION("IF(C80="""",""Missing"",IF(REGEXMATCH(C80,""^[^@\s]+@[^@\s]+\.[^@\s]+$""),""Valid"",""Invalid""))"),"Valid")</f>
        <v>Valid</v>
      </c>
      <c r="K80" s="4" t="s">
        <v>462</v>
      </c>
      <c r="L80" s="4" t="s">
        <v>283</v>
      </c>
      <c r="M80" s="4" t="str">
        <f t="shared" si="3"/>
        <v>Colombia</v>
      </c>
      <c r="N80" s="4" t="s">
        <v>39</v>
      </c>
      <c r="O80" s="4" t="s">
        <v>28</v>
      </c>
      <c r="P80" s="4" t="s">
        <v>29</v>
      </c>
      <c r="Q80" s="4" t="str">
        <f t="shared" si="4"/>
        <v>Contacted</v>
      </c>
      <c r="R80" s="9">
        <v>2000.0</v>
      </c>
      <c r="S80" s="10">
        <v>46177.0</v>
      </c>
      <c r="T80" s="10">
        <v>46183.0</v>
      </c>
      <c r="U80" s="4" t="s">
        <v>30</v>
      </c>
    </row>
    <row r="81" ht="15.75" customHeight="1">
      <c r="A81" s="4" t="s">
        <v>463</v>
      </c>
      <c r="B81" s="4" t="s">
        <v>464</v>
      </c>
      <c r="C81" s="4" t="s">
        <v>465</v>
      </c>
      <c r="D81" s="4" t="str">
        <f t="shared" si="1"/>
        <v>david.rodriguez27@company.com</v>
      </c>
      <c r="G81" s="4" t="str">
        <f t="shared" si="2"/>
        <v>Unique</v>
      </c>
      <c r="I81" s="4" t="str">
        <f>IFERROR(__xludf.DUMMYFUNCTION("IF(C81="""",""Missing"",IF(REGEXMATCH(C81,""^[^@\s]+@[^@\s]+\.[^@\s]+$""),""Valid"",""Invalid""))"),"Valid")</f>
        <v>Valid</v>
      </c>
      <c r="J81" s="4" t="s">
        <v>466</v>
      </c>
      <c r="K81" s="4" t="s">
        <v>332</v>
      </c>
      <c r="L81" s="4" t="s">
        <v>216</v>
      </c>
      <c r="M81" s="4" t="str">
        <f t="shared" si="3"/>
        <v>Salvador</v>
      </c>
      <c r="N81" s="4" t="s">
        <v>57</v>
      </c>
      <c r="O81" s="4" t="s">
        <v>49</v>
      </c>
      <c r="Q81" s="4" t="str">
        <f t="shared" si="4"/>
        <v/>
      </c>
      <c r="R81" s="9">
        <v>2000.0</v>
      </c>
      <c r="S81" s="10">
        <v>46108.0</v>
      </c>
      <c r="T81" s="10">
        <v>46108.0</v>
      </c>
      <c r="U81" s="4" t="s">
        <v>107</v>
      </c>
    </row>
    <row r="82" ht="15.75" customHeight="1">
      <c r="A82" s="4" t="s">
        <v>467</v>
      </c>
      <c r="B82" s="4" t="s">
        <v>136</v>
      </c>
      <c r="C82" s="4" t="s">
        <v>468</v>
      </c>
      <c r="D82" s="4" t="str">
        <f t="shared" si="1"/>
        <v>isabel.gomez42@mail.com</v>
      </c>
      <c r="G82" s="4" t="str">
        <f t="shared" si="2"/>
        <v>Unique</v>
      </c>
      <c r="I82" s="4" t="str">
        <f>IFERROR(__xludf.DUMMYFUNCTION("IF(C82="""",""Missing"",IF(REGEXMATCH(C82,""^[^@\s]+@[^@\s]+\.[^@\s]+$""),""Valid"",""Invalid""))"),"Valid")</f>
        <v>Valid</v>
      </c>
      <c r="J82" s="4" t="s">
        <v>469</v>
      </c>
      <c r="K82" s="4" t="s">
        <v>392</v>
      </c>
      <c r="L82" s="4" t="s">
        <v>168</v>
      </c>
      <c r="M82" s="4" t="str">
        <f t="shared" si="3"/>
        <v>Argentina</v>
      </c>
      <c r="N82" s="4" t="s">
        <v>57</v>
      </c>
      <c r="O82" s="4" t="s">
        <v>28</v>
      </c>
      <c r="P82" s="4" t="s">
        <v>58</v>
      </c>
      <c r="Q82" s="4" t="str">
        <f t="shared" si="4"/>
        <v>Lost</v>
      </c>
      <c r="R82" s="9">
        <v>3000.0</v>
      </c>
      <c r="S82" s="10">
        <v>46033.0</v>
      </c>
      <c r="T82" s="10">
        <v>46075.0</v>
      </c>
      <c r="U82" s="4" t="s">
        <v>41</v>
      </c>
    </row>
    <row r="83" ht="15.75" customHeight="1">
      <c r="A83" s="4" t="s">
        <v>470</v>
      </c>
      <c r="B83" s="4" t="s">
        <v>471</v>
      </c>
      <c r="C83" s="4" t="s">
        <v>472</v>
      </c>
      <c r="D83" s="4" t="str">
        <f t="shared" si="1"/>
        <v>daniel.diaz68@gmail.com</v>
      </c>
      <c r="G83" s="4" t="str">
        <f t="shared" si="2"/>
        <v>Unique</v>
      </c>
      <c r="I83" s="4" t="str">
        <f>IFERROR(__xludf.DUMMYFUNCTION("IF(C83="""",""Missing"",IF(REGEXMATCH(C83,""^[^@\s]+@[^@\s]+\.[^@\s]+$""),""Valid"",""Invalid""))"),"Valid")</f>
        <v>Valid</v>
      </c>
      <c r="J83" s="4" t="s">
        <v>473</v>
      </c>
      <c r="K83" s="4" t="s">
        <v>474</v>
      </c>
      <c r="L83" s="4" t="s">
        <v>168</v>
      </c>
      <c r="M83" s="4" t="str">
        <f t="shared" si="3"/>
        <v>Argentina</v>
      </c>
      <c r="N83" s="4" t="s">
        <v>27</v>
      </c>
      <c r="O83" s="4" t="s">
        <v>76</v>
      </c>
      <c r="P83" s="4" t="s">
        <v>134</v>
      </c>
      <c r="Q83" s="4" t="str">
        <f t="shared" si="4"/>
        <v>Qualified</v>
      </c>
      <c r="R83" s="9">
        <v>350.0</v>
      </c>
      <c r="S83" s="10">
        <v>46250.0</v>
      </c>
      <c r="T83" s="10">
        <v>46262.0</v>
      </c>
      <c r="U83" s="4" t="s">
        <v>41</v>
      </c>
    </row>
    <row r="84" ht="15.75" customHeight="1">
      <c r="A84" s="4" t="s">
        <v>475</v>
      </c>
      <c r="B84" s="4" t="s">
        <v>476</v>
      </c>
      <c r="C84" s="4" t="s">
        <v>477</v>
      </c>
      <c r="D84" s="4" t="str">
        <f t="shared" si="1"/>
        <v>luis.morales26@gmail.com</v>
      </c>
      <c r="G84" s="4" t="str">
        <f t="shared" si="2"/>
        <v>Unique</v>
      </c>
      <c r="I84" s="4" t="str">
        <f>IFERROR(__xludf.DUMMYFUNCTION("IF(C84="""",""Missing"",IF(REGEXMATCH(C84,""^[^@\s]+@[^@\s]+\.[^@\s]+$""),""Valid"",""Invalid""))"),"Valid")</f>
        <v>Valid</v>
      </c>
      <c r="J84" s="4" t="s">
        <v>478</v>
      </c>
      <c r="K84" s="4" t="s">
        <v>462</v>
      </c>
      <c r="L84" s="4" t="s">
        <v>168</v>
      </c>
      <c r="M84" s="4" t="str">
        <f t="shared" si="3"/>
        <v>Argentina</v>
      </c>
      <c r="N84" s="4" t="s">
        <v>39</v>
      </c>
      <c r="O84" s="4" t="s">
        <v>76</v>
      </c>
      <c r="P84" s="4" t="s">
        <v>77</v>
      </c>
      <c r="Q84" s="4" t="str">
        <f t="shared" si="4"/>
        <v>Proposal Sent</v>
      </c>
      <c r="R84" s="9">
        <v>4500.0</v>
      </c>
      <c r="S84" s="10">
        <v>46080.0</v>
      </c>
      <c r="T84" s="10">
        <v>46080.0</v>
      </c>
      <c r="U84" s="4" t="s">
        <v>95</v>
      </c>
    </row>
    <row r="85" ht="15.75" customHeight="1">
      <c r="A85" s="4" t="s">
        <v>479</v>
      </c>
      <c r="B85" s="4" t="s">
        <v>480</v>
      </c>
      <c r="C85" s="4" t="s">
        <v>481</v>
      </c>
      <c r="D85" s="4" t="str">
        <f t="shared" si="1"/>
        <v>ana.garcia24@mail.com</v>
      </c>
      <c r="G85" s="4" t="str">
        <f t="shared" si="2"/>
        <v>Unique</v>
      </c>
      <c r="I85" s="4" t="str">
        <f>IFERROR(__xludf.DUMMYFUNCTION("IF(C85="""",""Missing"",IF(REGEXMATCH(C85,""^[^@\s]+@[^@\s]+\.[^@\s]+$""),""Valid"",""Invalid""))"),"Valid")</f>
        <v>Valid</v>
      </c>
      <c r="J85" s="4" t="s">
        <v>482</v>
      </c>
      <c r="K85" s="4" t="s">
        <v>483</v>
      </c>
      <c r="L85" s="4" t="s">
        <v>220</v>
      </c>
      <c r="M85" s="4" t="str">
        <f t="shared" si="3"/>
        <v>Spain</v>
      </c>
      <c r="N85" s="4" t="s">
        <v>133</v>
      </c>
      <c r="O85" s="4" t="s">
        <v>217</v>
      </c>
      <c r="P85" s="4" t="s">
        <v>58</v>
      </c>
      <c r="Q85" s="4" t="str">
        <f t="shared" si="4"/>
        <v>Lost</v>
      </c>
      <c r="R85" s="9"/>
      <c r="S85" s="10">
        <v>46247.0</v>
      </c>
      <c r="T85" s="10">
        <v>46283.0</v>
      </c>
      <c r="U85" s="4" t="s">
        <v>95</v>
      </c>
    </row>
    <row r="86" ht="15.75" customHeight="1">
      <c r="A86" s="4" t="s">
        <v>484</v>
      </c>
      <c r="B86" s="4" t="s">
        <v>485</v>
      </c>
      <c r="D86" s="4" t="str">
        <f t="shared" si="1"/>
        <v/>
      </c>
      <c r="G86" s="4" t="str">
        <f t="shared" si="2"/>
        <v>Missing Email</v>
      </c>
      <c r="I86" s="4" t="str">
        <f>IFERROR(__xludf.DUMMYFUNCTION("IF(C86="""",""Missing"",IF(REGEXMATCH(C86,""^[^@\s]+@[^@\s]+\.[^@\s]+$""),""Valid"",""Invalid""))"),"Missing")</f>
        <v>Missing</v>
      </c>
      <c r="J86" s="4" t="s">
        <v>487</v>
      </c>
      <c r="K86" s="4" t="s">
        <v>488</v>
      </c>
      <c r="L86" s="4" t="s">
        <v>489</v>
      </c>
      <c r="M86" s="4" t="str">
        <f t="shared" si="3"/>
        <v>Usa</v>
      </c>
      <c r="N86" s="4" t="s">
        <v>133</v>
      </c>
      <c r="O86" s="4" t="s">
        <v>76</v>
      </c>
      <c r="P86" s="4" t="s">
        <v>65</v>
      </c>
      <c r="Q86" s="4" t="str">
        <f t="shared" si="4"/>
        <v>Won</v>
      </c>
      <c r="R86" s="9">
        <v>500.0</v>
      </c>
      <c r="S86" s="10">
        <v>46060.0</v>
      </c>
      <c r="T86" s="10">
        <v>46097.0</v>
      </c>
      <c r="U86" s="4" t="s">
        <v>30</v>
      </c>
    </row>
    <row r="87" ht="15.75" customHeight="1">
      <c r="A87" s="4" t="s">
        <v>490</v>
      </c>
      <c r="B87" s="4" t="s">
        <v>491</v>
      </c>
      <c r="C87" s="4" t="s">
        <v>492</v>
      </c>
      <c r="D87" s="4" t="str">
        <f t="shared" si="1"/>
        <v>laura.gomez3@company.com</v>
      </c>
      <c r="G87" s="4" t="str">
        <f t="shared" si="2"/>
        <v>Unique</v>
      </c>
      <c r="I87" s="4" t="str">
        <f>IFERROR(__xludf.DUMMYFUNCTION("IF(C87="""",""Missing"",IF(REGEXMATCH(C87,""^[^@\s]+@[^@\s]+\.[^@\s]+$""),""Valid"",""Invalid""))"),"Valid")</f>
        <v>Valid</v>
      </c>
      <c r="J87" s="4" t="s">
        <v>493</v>
      </c>
      <c r="K87" s="4" t="s">
        <v>494</v>
      </c>
      <c r="L87" s="4" t="s">
        <v>26</v>
      </c>
      <c r="M87" s="4" t="str">
        <f t="shared" si="3"/>
        <v>Chile</v>
      </c>
      <c r="N87" s="4" t="s">
        <v>27</v>
      </c>
      <c r="O87" s="4" t="s">
        <v>28</v>
      </c>
      <c r="P87" s="4" t="s">
        <v>58</v>
      </c>
      <c r="Q87" s="4" t="str">
        <f t="shared" si="4"/>
        <v>Lost</v>
      </c>
      <c r="R87" s="9">
        <v>4500.0</v>
      </c>
      <c r="S87" s="10">
        <v>46097.0</v>
      </c>
      <c r="T87" s="10">
        <v>46105.0</v>
      </c>
    </row>
    <row r="88" ht="15.75" customHeight="1">
      <c r="A88" s="4" t="s">
        <v>499</v>
      </c>
      <c r="B88" s="4" t="s">
        <v>500</v>
      </c>
      <c r="C88" s="4" t="s">
        <v>502</v>
      </c>
      <c r="D88" s="4" t="str">
        <f t="shared" si="1"/>
        <v>isabel.gonzalez3@company.com</v>
      </c>
      <c r="G88" s="4" t="str">
        <f t="shared" si="2"/>
        <v>Unique</v>
      </c>
      <c r="I88" s="4" t="str">
        <f>IFERROR(__xludf.DUMMYFUNCTION("IF(C88="""",""Missing"",IF(REGEXMATCH(C88,""^[^@\s]+@[^@\s]+\.[^@\s]+$""),""Valid"",""Invalid""))"),"Valid")</f>
        <v>Valid</v>
      </c>
      <c r="J88" s="4" t="s">
        <v>508</v>
      </c>
      <c r="K88" s="4" t="s">
        <v>509</v>
      </c>
      <c r="L88" s="4" t="s">
        <v>454</v>
      </c>
      <c r="M88" s="4" t="str">
        <f t="shared" si="3"/>
        <v>Us</v>
      </c>
      <c r="N88" s="4" t="s">
        <v>133</v>
      </c>
      <c r="O88" s="4" t="s">
        <v>28</v>
      </c>
      <c r="P88" s="4" t="s">
        <v>77</v>
      </c>
      <c r="Q88" s="4" t="str">
        <f t="shared" si="4"/>
        <v>Proposal Sent</v>
      </c>
      <c r="R88" s="9">
        <v>2000.0</v>
      </c>
      <c r="S88" s="10">
        <v>46107.0</v>
      </c>
      <c r="T88" s="10">
        <v>46136.0</v>
      </c>
      <c r="U88" s="4" t="s">
        <v>95</v>
      </c>
    </row>
    <row r="89" ht="15.75" customHeight="1">
      <c r="A89" s="4" t="s">
        <v>516</v>
      </c>
      <c r="B89" s="4" t="s">
        <v>517</v>
      </c>
      <c r="C89" s="4" t="s">
        <v>518</v>
      </c>
      <c r="D89" s="4" t="str">
        <f t="shared" si="1"/>
        <v>laura.rivera45@gmail.com</v>
      </c>
      <c r="G89" s="4" t="str">
        <f t="shared" si="2"/>
        <v>Unique</v>
      </c>
      <c r="I89" s="4" t="str">
        <f>IFERROR(__xludf.DUMMYFUNCTION("IF(C89="""",""Missing"",IF(REGEXMATCH(C89,""^[^@\s]+@[^@\s]+\.[^@\s]+$""),""Valid"",""Invalid""))"),"Valid")</f>
        <v>Valid</v>
      </c>
      <c r="J89" s="4" t="s">
        <v>522</v>
      </c>
      <c r="K89" s="4" t="s">
        <v>259</v>
      </c>
      <c r="L89" s="4" t="s">
        <v>489</v>
      </c>
      <c r="M89" s="4" t="str">
        <f t="shared" si="3"/>
        <v>Usa</v>
      </c>
      <c r="N89" s="4" t="s">
        <v>48</v>
      </c>
      <c r="O89" s="4" t="s">
        <v>40</v>
      </c>
      <c r="Q89" s="4" t="str">
        <f t="shared" si="4"/>
        <v/>
      </c>
      <c r="R89" s="9">
        <v>3000.0</v>
      </c>
      <c r="S89" s="10">
        <v>46060.0</v>
      </c>
      <c r="T89" s="10">
        <v>46075.0</v>
      </c>
      <c r="U89" s="4" t="s">
        <v>66</v>
      </c>
    </row>
    <row r="90" ht="15.75" customHeight="1">
      <c r="A90" s="4" t="s">
        <v>530</v>
      </c>
      <c r="B90" s="4" t="s">
        <v>531</v>
      </c>
      <c r="C90" s="4" t="s">
        <v>532</v>
      </c>
      <c r="D90" s="4" t="str">
        <f t="shared" si="1"/>
        <v>ana.flores62@gmail.com</v>
      </c>
      <c r="G90" s="4" t="str">
        <f t="shared" si="2"/>
        <v>Unique</v>
      </c>
      <c r="I90" s="4" t="str">
        <f>IFERROR(__xludf.DUMMYFUNCTION("IF(C90="""",""Missing"",IF(REGEXMATCH(C90,""^[^@\s]+@[^@\s]+\.[^@\s]+$""),""Valid"",""Invalid""))"),"Valid")</f>
        <v>Valid</v>
      </c>
      <c r="J90" s="4" t="s">
        <v>537</v>
      </c>
      <c r="K90" s="4" t="s">
        <v>167</v>
      </c>
      <c r="L90" s="4" t="s">
        <v>538</v>
      </c>
      <c r="M90" s="4" t="str">
        <f t="shared" si="3"/>
        <v>Spain</v>
      </c>
      <c r="N90" s="4" t="s">
        <v>27</v>
      </c>
      <c r="O90" s="4" t="s">
        <v>28</v>
      </c>
      <c r="P90" s="4" t="s">
        <v>58</v>
      </c>
      <c r="Q90" s="4" t="str">
        <f t="shared" si="4"/>
        <v>Lost</v>
      </c>
      <c r="R90" s="9">
        <v>1500.0</v>
      </c>
      <c r="S90" s="10">
        <v>46214.0</v>
      </c>
      <c r="T90" s="10">
        <v>46255.0</v>
      </c>
      <c r="U90" s="4" t="s">
        <v>66</v>
      </c>
    </row>
    <row r="91" ht="15.75" customHeight="1">
      <c r="A91" s="4" t="s">
        <v>541</v>
      </c>
      <c r="B91" s="4" t="s">
        <v>542</v>
      </c>
      <c r="C91" s="4" t="s">
        <v>543</v>
      </c>
      <c r="D91" s="4" t="str">
        <f t="shared" si="1"/>
        <v>valeria.castro40@mail.com</v>
      </c>
      <c r="G91" s="4" t="str">
        <f t="shared" si="2"/>
        <v>Unique</v>
      </c>
      <c r="I91" s="4" t="str">
        <f>IFERROR(__xludf.DUMMYFUNCTION("IF(C91="""",""Missing"",IF(REGEXMATCH(C91,""^[^@\s]+@[^@\s]+\.[^@\s]+$""),""Valid"",""Invalid""))"),"Valid")</f>
        <v>Valid</v>
      </c>
      <c r="J91" s="4" t="s">
        <v>544</v>
      </c>
      <c r="K91" s="4" t="s">
        <v>545</v>
      </c>
      <c r="L91" s="4" t="s">
        <v>546</v>
      </c>
      <c r="M91" s="4" t="str">
        <f t="shared" si="3"/>
        <v>Mexico</v>
      </c>
      <c r="N91" s="4" t="s">
        <v>39</v>
      </c>
      <c r="O91" s="4" t="s">
        <v>217</v>
      </c>
      <c r="P91" s="4" t="s">
        <v>65</v>
      </c>
      <c r="Q91" s="4" t="str">
        <f t="shared" si="4"/>
        <v>Won</v>
      </c>
      <c r="R91" s="9">
        <v>1200.0</v>
      </c>
      <c r="S91" s="10">
        <v>46267.0</v>
      </c>
      <c r="T91" s="10">
        <v>46287.0</v>
      </c>
    </row>
    <row r="92" ht="15.75" customHeight="1">
      <c r="A92" s="4" t="s">
        <v>547</v>
      </c>
      <c r="B92" s="4" t="s">
        <v>320</v>
      </c>
      <c r="C92" s="4" t="s">
        <v>548</v>
      </c>
      <c r="D92" s="4" t="str">
        <f t="shared" si="1"/>
        <v>patricia.rodriguez74@mail.com</v>
      </c>
      <c r="G92" s="4" t="str">
        <f t="shared" si="2"/>
        <v>Unique</v>
      </c>
      <c r="I92" s="4" t="str">
        <f>IFERROR(__xludf.DUMMYFUNCTION("IF(C92="""",""Missing"",IF(REGEXMATCH(C92,""^[^@\s]+@[^@\s]+\.[^@\s]+$""),""Valid"",""Invalid""))"),"Valid")</f>
        <v>Valid</v>
      </c>
      <c r="J92" s="4" t="s">
        <v>549</v>
      </c>
      <c r="L92" s="4" t="s">
        <v>175</v>
      </c>
      <c r="M92" s="4" t="str">
        <f t="shared" si="3"/>
        <v>Peru</v>
      </c>
      <c r="N92" s="4" t="s">
        <v>39</v>
      </c>
      <c r="O92" s="4" t="s">
        <v>49</v>
      </c>
      <c r="P92" s="4" t="s">
        <v>65</v>
      </c>
      <c r="Q92" s="4" t="str">
        <f t="shared" si="4"/>
        <v>Won</v>
      </c>
      <c r="R92" s="9">
        <v>2000.0</v>
      </c>
      <c r="S92" s="10">
        <v>46253.0</v>
      </c>
      <c r="T92" s="10">
        <v>46266.0</v>
      </c>
      <c r="U92" s="4" t="s">
        <v>41</v>
      </c>
    </row>
    <row r="93" ht="15.75" customHeight="1">
      <c r="A93" s="4" t="s">
        <v>550</v>
      </c>
      <c r="B93" s="4" t="s">
        <v>551</v>
      </c>
      <c r="C93" s="4" t="s">
        <v>552</v>
      </c>
      <c r="D93" s="4" t="str">
        <f t="shared" si="1"/>
        <v>luis.gonzalez69@gmail.com</v>
      </c>
      <c r="G93" s="4" t="str">
        <f t="shared" si="2"/>
        <v>Unique</v>
      </c>
      <c r="I93" s="4" t="str">
        <f>IFERROR(__xludf.DUMMYFUNCTION("IF(C93="""",""Missing"",IF(REGEXMATCH(C93,""^[^@\s]+@[^@\s]+\.[^@\s]+$""),""Valid"",""Invalid""))"),"Valid")</f>
        <v>Valid</v>
      </c>
      <c r="J93" s="4" t="s">
        <v>553</v>
      </c>
      <c r="K93" s="4" t="s">
        <v>554</v>
      </c>
      <c r="L93" s="4" t="s">
        <v>26</v>
      </c>
      <c r="M93" s="4" t="str">
        <f t="shared" si="3"/>
        <v>Chile</v>
      </c>
      <c r="N93" s="4" t="s">
        <v>133</v>
      </c>
      <c r="O93" s="4" t="s">
        <v>40</v>
      </c>
      <c r="P93" s="4" t="s">
        <v>29</v>
      </c>
      <c r="Q93" s="4" t="str">
        <f t="shared" si="4"/>
        <v>Contacted</v>
      </c>
      <c r="R93" s="9">
        <v>750.0</v>
      </c>
      <c r="S93" s="10">
        <v>46120.0</v>
      </c>
      <c r="T93" s="10">
        <v>46159.0</v>
      </c>
      <c r="U93" s="4" t="s">
        <v>66</v>
      </c>
    </row>
    <row r="94" ht="15.75" customHeight="1">
      <c r="A94" s="4" t="s">
        <v>555</v>
      </c>
      <c r="B94" s="4" t="s">
        <v>476</v>
      </c>
      <c r="C94" s="4" t="s">
        <v>556</v>
      </c>
      <c r="D94" s="4" t="str">
        <f t="shared" si="1"/>
        <v>luis.morales55@company.com</v>
      </c>
      <c r="G94" s="4" t="str">
        <f t="shared" si="2"/>
        <v>Unique</v>
      </c>
      <c r="I94" s="4" t="str">
        <f>IFERROR(__xludf.DUMMYFUNCTION("IF(C94="""",""Missing"",IF(REGEXMATCH(C94,""^[^@\s]+@[^@\s]+\.[^@\s]+$""),""Valid"",""Invalid""))"),"Valid")</f>
        <v>Valid</v>
      </c>
      <c r="J94" s="4" t="s">
        <v>557</v>
      </c>
      <c r="K94" s="4" t="s">
        <v>112</v>
      </c>
      <c r="L94" s="4" t="s">
        <v>538</v>
      </c>
      <c r="M94" s="4" t="str">
        <f t="shared" si="3"/>
        <v>Spain</v>
      </c>
      <c r="N94" s="4" t="s">
        <v>48</v>
      </c>
      <c r="O94" s="4" t="s">
        <v>217</v>
      </c>
      <c r="P94" s="4" t="s">
        <v>77</v>
      </c>
      <c r="Q94" s="4" t="str">
        <f t="shared" si="4"/>
        <v>Proposal Sent</v>
      </c>
      <c r="R94" s="9">
        <v>1500.0</v>
      </c>
      <c r="S94" s="10">
        <v>46080.0</v>
      </c>
      <c r="T94" s="10">
        <v>46113.0</v>
      </c>
      <c r="U94" s="4" t="s">
        <v>30</v>
      </c>
    </row>
    <row r="95" ht="15.75" customHeight="1">
      <c r="A95" s="4" t="s">
        <v>558</v>
      </c>
      <c r="B95" s="4" t="s">
        <v>559</v>
      </c>
      <c r="C95" s="4" t="s">
        <v>560</v>
      </c>
      <c r="D95" s="4" t="str">
        <f t="shared" si="1"/>
        <v>david.gonzalez31@gmail.com</v>
      </c>
      <c r="G95" s="4" t="str">
        <f t="shared" si="2"/>
        <v>Unique</v>
      </c>
      <c r="I95" s="4" t="str">
        <f>IFERROR(__xludf.DUMMYFUNCTION("IF(C95="""",""Missing"",IF(REGEXMATCH(C95,""^[^@\s]+@[^@\s]+\.[^@\s]+$""),""Valid"",""Invalid""))"),"Valid")</f>
        <v>Valid</v>
      </c>
      <c r="J95" s="4" t="s">
        <v>561</v>
      </c>
      <c r="K95" s="4" t="s">
        <v>562</v>
      </c>
      <c r="L95" s="4" t="s">
        <v>140</v>
      </c>
      <c r="M95" s="4" t="str">
        <f t="shared" si="3"/>
        <v>Perú</v>
      </c>
      <c r="N95" s="4" t="s">
        <v>106</v>
      </c>
      <c r="O95" s="4" t="s">
        <v>40</v>
      </c>
      <c r="P95" s="4" t="s">
        <v>29</v>
      </c>
      <c r="Q95" s="4" t="str">
        <f t="shared" si="4"/>
        <v>Contacted</v>
      </c>
      <c r="R95" s="9">
        <v>2500.0</v>
      </c>
      <c r="S95" s="10">
        <v>46055.0</v>
      </c>
      <c r="T95" s="10">
        <v>46064.0</v>
      </c>
      <c r="U95" s="4" t="s">
        <v>66</v>
      </c>
    </row>
    <row r="96" ht="15.75" customHeight="1">
      <c r="A96" s="4" t="s">
        <v>563</v>
      </c>
      <c r="B96" s="4" t="s">
        <v>564</v>
      </c>
      <c r="C96" s="4" t="s">
        <v>565</v>
      </c>
      <c r="D96" s="4" t="str">
        <f t="shared" si="1"/>
        <v>carolina.garcia98@mail.com</v>
      </c>
      <c r="G96" s="4" t="str">
        <f t="shared" si="2"/>
        <v>Unique</v>
      </c>
      <c r="I96" s="4" t="str">
        <f>IFERROR(__xludf.DUMMYFUNCTION("IF(C96="""",""Missing"",IF(REGEXMATCH(C96,""^[^@\s]+@[^@\s]+\.[^@\s]+$""),""Valid"",""Invalid""))"),"Valid")</f>
        <v>Valid</v>
      </c>
      <c r="J96" s="4" t="s">
        <v>566</v>
      </c>
      <c r="K96" s="4" t="s">
        <v>453</v>
      </c>
      <c r="L96" s="4" t="s">
        <v>175</v>
      </c>
      <c r="M96" s="4" t="str">
        <f t="shared" si="3"/>
        <v>Peru</v>
      </c>
      <c r="N96" s="4" t="s">
        <v>27</v>
      </c>
      <c r="O96" s="4" t="s">
        <v>40</v>
      </c>
      <c r="P96" s="4" t="s">
        <v>58</v>
      </c>
      <c r="Q96" s="4" t="str">
        <f t="shared" si="4"/>
        <v>Lost</v>
      </c>
      <c r="R96" s="9"/>
      <c r="S96" s="10">
        <v>46256.0</v>
      </c>
      <c r="T96" s="10">
        <v>46290.0</v>
      </c>
    </row>
    <row r="97" ht="15.75" customHeight="1">
      <c r="A97" s="4" t="s">
        <v>567</v>
      </c>
      <c r="B97" s="4" t="s">
        <v>568</v>
      </c>
      <c r="C97" s="4" t="s">
        <v>569</v>
      </c>
      <c r="D97" s="4" t="str">
        <f t="shared" si="1"/>
        <v>sergio.gomez44@mail.com</v>
      </c>
      <c r="G97" s="4" t="str">
        <f t="shared" si="2"/>
        <v>Unique</v>
      </c>
      <c r="I97" s="4" t="str">
        <f>IFERROR(__xludf.DUMMYFUNCTION("IF(C97="""",""Missing"",IF(REGEXMATCH(C97,""^[^@\s]+@[^@\s]+\.[^@\s]+$""),""Valid"",""Invalid""))"),"Valid")</f>
        <v>Valid</v>
      </c>
      <c r="J97" s="4" t="s">
        <v>570</v>
      </c>
      <c r="K97" s="4" t="s">
        <v>571</v>
      </c>
      <c r="L97" s="4" t="s">
        <v>248</v>
      </c>
      <c r="M97" s="4" t="str">
        <f t="shared" si="3"/>
        <v>Colombia</v>
      </c>
      <c r="N97" s="4" t="s">
        <v>57</v>
      </c>
      <c r="O97" s="4" t="s">
        <v>217</v>
      </c>
      <c r="P97" s="4" t="s">
        <v>50</v>
      </c>
      <c r="Q97" s="4" t="str">
        <f t="shared" si="4"/>
        <v>New</v>
      </c>
      <c r="R97" s="9"/>
      <c r="S97" s="10">
        <v>46043.0</v>
      </c>
      <c r="T97" s="10">
        <v>46051.0</v>
      </c>
      <c r="U97" s="4" t="s">
        <v>41</v>
      </c>
    </row>
    <row r="98" ht="15.75" customHeight="1">
      <c r="A98" s="4" t="s">
        <v>572</v>
      </c>
      <c r="B98" s="4" t="s">
        <v>573</v>
      </c>
      <c r="C98" s="4" t="s">
        <v>574</v>
      </c>
      <c r="D98" s="4" t="str">
        <f t="shared" si="1"/>
        <v>sergio.navarro85@gmail.com</v>
      </c>
      <c r="G98" s="4" t="str">
        <f t="shared" si="2"/>
        <v>Unique</v>
      </c>
      <c r="I98" s="4" t="str">
        <f>IFERROR(__xludf.DUMMYFUNCTION("IF(C98="""",""Missing"",IF(REGEXMATCH(C98,""^[^@\s]+@[^@\s]+\.[^@\s]+$""),""Valid"",""Invalid""))"),"Valid")</f>
        <v>Valid</v>
      </c>
      <c r="J98" s="4" t="s">
        <v>575</v>
      </c>
      <c r="K98" s="4" t="s">
        <v>576</v>
      </c>
      <c r="L98" s="4" t="s">
        <v>162</v>
      </c>
      <c r="M98" s="4" t="str">
        <f t="shared" si="3"/>
        <v>United States</v>
      </c>
      <c r="N98" s="4" t="s">
        <v>39</v>
      </c>
      <c r="O98" s="4" t="s">
        <v>217</v>
      </c>
      <c r="P98" s="4" t="s">
        <v>577</v>
      </c>
      <c r="Q98" s="4" t="str">
        <f t="shared" si="4"/>
        <v>Contacted</v>
      </c>
      <c r="R98" s="9">
        <v>2000.0</v>
      </c>
      <c r="S98" s="10">
        <v>46141.0</v>
      </c>
      <c r="T98" s="10">
        <v>46158.0</v>
      </c>
      <c r="U98" s="4" t="s">
        <v>30</v>
      </c>
    </row>
    <row r="99" ht="15.75" customHeight="1">
      <c r="A99" s="4" t="s">
        <v>578</v>
      </c>
      <c r="B99" s="4" t="s">
        <v>579</v>
      </c>
      <c r="D99" s="4" t="str">
        <f t="shared" si="1"/>
        <v/>
      </c>
      <c r="G99" s="4" t="str">
        <f t="shared" si="2"/>
        <v>Missing Email</v>
      </c>
      <c r="I99" s="4" t="str">
        <f>IFERROR(__xludf.DUMMYFUNCTION("IF(C99="""",""Missing"",IF(REGEXMATCH(C99,""^[^@\s]+@[^@\s]+\.[^@\s]+$""),""Valid"",""Invalid""))"),"Missing")</f>
        <v>Missing</v>
      </c>
      <c r="J99" s="4" t="s">
        <v>580</v>
      </c>
      <c r="K99" s="4" t="s">
        <v>581</v>
      </c>
      <c r="L99" s="4" t="s">
        <v>582</v>
      </c>
      <c r="M99" s="4" t="str">
        <f t="shared" si="3"/>
        <v>Spain</v>
      </c>
      <c r="N99" s="4" t="s">
        <v>57</v>
      </c>
      <c r="O99" s="4" t="s">
        <v>76</v>
      </c>
      <c r="P99" s="4" t="s">
        <v>77</v>
      </c>
      <c r="Q99" s="4" t="str">
        <f t="shared" si="4"/>
        <v>Proposal Sent</v>
      </c>
      <c r="R99" s="9">
        <v>2000.0</v>
      </c>
      <c r="S99" s="10">
        <v>46041.0</v>
      </c>
      <c r="T99" s="10">
        <v>46061.0</v>
      </c>
      <c r="U99" s="4" t="s">
        <v>66</v>
      </c>
    </row>
    <row r="100" ht="15.75" customHeight="1">
      <c r="A100" s="4" t="s">
        <v>583</v>
      </c>
      <c r="B100" s="4" t="s">
        <v>584</v>
      </c>
      <c r="C100" s="4" t="s">
        <v>585</v>
      </c>
      <c r="D100" s="4" t="str">
        <f t="shared" si="1"/>
        <v>carolina.navarro58@gmail.com</v>
      </c>
      <c r="G100" s="4" t="str">
        <f t="shared" si="2"/>
        <v>Unique</v>
      </c>
      <c r="I100" s="4" t="str">
        <f>IFERROR(__xludf.DUMMYFUNCTION("IF(C100="""",""Missing"",IF(REGEXMATCH(C100,""^[^@\s]+@[^@\s]+\.[^@\s]+$""),""Valid"",""Invalid""))"),"Valid")</f>
        <v>Valid</v>
      </c>
      <c r="J100" s="4" t="s">
        <v>586</v>
      </c>
      <c r="K100" s="4" t="s">
        <v>131</v>
      </c>
      <c r="L100" s="4" t="s">
        <v>47</v>
      </c>
      <c r="M100" s="4" t="str">
        <f t="shared" si="3"/>
        <v>El Salvador</v>
      </c>
      <c r="N100" s="4" t="s">
        <v>133</v>
      </c>
      <c r="O100" s="4" t="s">
        <v>40</v>
      </c>
      <c r="P100" s="4" t="s">
        <v>134</v>
      </c>
      <c r="Q100" s="4" t="str">
        <f t="shared" si="4"/>
        <v>Qualified</v>
      </c>
      <c r="R100" s="9">
        <v>1500.0</v>
      </c>
      <c r="S100" s="10">
        <v>46183.0</v>
      </c>
      <c r="T100" s="10">
        <v>46199.0</v>
      </c>
      <c r="U100" s="4" t="s">
        <v>107</v>
      </c>
    </row>
    <row r="101" ht="15.75" customHeight="1">
      <c r="A101" s="4" t="s">
        <v>587</v>
      </c>
      <c r="B101" s="4" t="s">
        <v>588</v>
      </c>
      <c r="C101" s="4" t="s">
        <v>589</v>
      </c>
      <c r="D101" s="4" t="str">
        <f t="shared" si="1"/>
        <v>patricia.martinez26@gmail.com</v>
      </c>
      <c r="G101" s="4" t="str">
        <f t="shared" si="2"/>
        <v>Duplicate</v>
      </c>
      <c r="I101" s="4" t="str">
        <f>IFERROR(__xludf.DUMMYFUNCTION("IF(C101="""",""Missing"",IF(REGEXMATCH(C101,""^[^@\s]+@[^@\s]+\.[^@\s]+$""),""Valid"",""Invalid""))"),"Valid")</f>
        <v>Valid</v>
      </c>
      <c r="J101" s="4" t="s">
        <v>590</v>
      </c>
      <c r="K101" s="4" t="s">
        <v>591</v>
      </c>
      <c r="L101" s="4" t="s">
        <v>47</v>
      </c>
      <c r="M101" s="4" t="str">
        <f t="shared" si="3"/>
        <v>El Salvador</v>
      </c>
      <c r="N101" s="4" t="s">
        <v>57</v>
      </c>
      <c r="O101" s="4" t="s">
        <v>28</v>
      </c>
      <c r="P101" s="4" t="s">
        <v>29</v>
      </c>
      <c r="Q101" s="4" t="str">
        <f t="shared" si="4"/>
        <v>Contacted</v>
      </c>
      <c r="R101" s="9">
        <v>1200.0</v>
      </c>
      <c r="S101" s="10">
        <v>46232.0</v>
      </c>
      <c r="T101" s="10">
        <v>46254.0</v>
      </c>
      <c r="V101" s="4">
        <f>IFERROR(__xludf.DUMMYFUNCTION("COUNTA(UNIQUE(FILTER(D94:D293,G94:G293=""Duplicate"")))"),5.0)</f>
        <v>5</v>
      </c>
    </row>
    <row r="102" ht="15.75" customHeight="1">
      <c r="A102" s="4" t="s">
        <v>592</v>
      </c>
      <c r="B102" s="4" t="s">
        <v>593</v>
      </c>
      <c r="C102" s="4" t="s">
        <v>594</v>
      </c>
      <c r="D102" s="4" t="str">
        <f t="shared" si="1"/>
        <v>david.navarro78@company.com</v>
      </c>
      <c r="G102" s="4" t="str">
        <f t="shared" si="2"/>
        <v>Unique</v>
      </c>
      <c r="I102" s="4" t="str">
        <f>IFERROR(__xludf.DUMMYFUNCTION("IF(C102="""",""Missing"",IF(REGEXMATCH(C102,""^[^@\s]+@[^@\s]+\.[^@\s]+$""),""Valid"",""Invalid""))"),"Valid")</f>
        <v>Valid</v>
      </c>
      <c r="J102" s="4" t="s">
        <v>595</v>
      </c>
      <c r="K102" s="4" t="s">
        <v>100</v>
      </c>
      <c r="L102" s="4" t="s">
        <v>140</v>
      </c>
      <c r="M102" s="4" t="str">
        <f t="shared" si="3"/>
        <v>Perú</v>
      </c>
      <c r="N102" s="4" t="s">
        <v>39</v>
      </c>
      <c r="O102" s="4" t="s">
        <v>28</v>
      </c>
      <c r="P102" s="4" t="s">
        <v>29</v>
      </c>
      <c r="Q102" s="4" t="str">
        <f t="shared" si="4"/>
        <v>Contacted</v>
      </c>
      <c r="R102" s="9">
        <v>2500.0</v>
      </c>
      <c r="S102" s="10">
        <v>46131.0</v>
      </c>
      <c r="T102" s="10">
        <v>46160.0</v>
      </c>
      <c r="U102" s="4" t="s">
        <v>107</v>
      </c>
    </row>
    <row r="103" ht="15.75" customHeight="1">
      <c r="A103" s="4" t="s">
        <v>596</v>
      </c>
      <c r="B103" s="4" t="s">
        <v>369</v>
      </c>
      <c r="C103" s="4" t="s">
        <v>597</v>
      </c>
      <c r="D103" s="4" t="str">
        <f t="shared" si="1"/>
        <v>fernando.diaz28@gmail.com</v>
      </c>
      <c r="G103" s="4" t="str">
        <f t="shared" si="2"/>
        <v>Unique</v>
      </c>
      <c r="I103" s="4" t="str">
        <f>IFERROR(__xludf.DUMMYFUNCTION("IF(C103="""",""Missing"",IF(REGEXMATCH(C103,""^[^@\s]+@[^@\s]+\.[^@\s]+$""),""Valid"",""Invalid""))"),"Valid")</f>
        <v>Valid</v>
      </c>
      <c r="J103" s="4" t="s">
        <v>598</v>
      </c>
      <c r="K103" s="4" t="s">
        <v>571</v>
      </c>
      <c r="L103" s="4" t="s">
        <v>47</v>
      </c>
      <c r="M103" s="4" t="str">
        <f t="shared" si="3"/>
        <v>El Salvador</v>
      </c>
      <c r="N103" s="4" t="s">
        <v>27</v>
      </c>
      <c r="O103" s="4" t="s">
        <v>217</v>
      </c>
      <c r="P103" s="4" t="s">
        <v>134</v>
      </c>
      <c r="Q103" s="4" t="str">
        <f t="shared" si="4"/>
        <v>Qualified</v>
      </c>
      <c r="R103" s="9">
        <v>2000.0</v>
      </c>
      <c r="S103" s="10">
        <v>46227.0</v>
      </c>
      <c r="T103" s="10">
        <v>46247.0</v>
      </c>
      <c r="U103" s="4" t="s">
        <v>41</v>
      </c>
    </row>
    <row r="104" ht="15.75" customHeight="1">
      <c r="A104" s="4" t="s">
        <v>599</v>
      </c>
      <c r="B104" s="4" t="s">
        <v>600</v>
      </c>
      <c r="C104" s="4" t="s">
        <v>601</v>
      </c>
      <c r="D104" s="4" t="str">
        <f t="shared" si="1"/>
        <v>patricia.vargas46@mail.com</v>
      </c>
      <c r="G104" s="4" t="str">
        <f t="shared" si="2"/>
        <v>Unique</v>
      </c>
      <c r="I104" s="4" t="str">
        <f>IFERROR(__xludf.DUMMYFUNCTION("IF(C104="""",""Missing"",IF(REGEXMATCH(C104,""^[^@\s]+@[^@\s]+\.[^@\s]+$""),""Valid"",""Invalid""))"),"Valid")</f>
        <v>Valid</v>
      </c>
      <c r="J104" s="4" t="s">
        <v>602</v>
      </c>
      <c r="K104" s="4" t="s">
        <v>603</v>
      </c>
      <c r="L104" s="4" t="s">
        <v>205</v>
      </c>
      <c r="M104" s="4" t="str">
        <f t="shared" si="3"/>
        <v>Chile</v>
      </c>
      <c r="N104" s="4" t="s">
        <v>106</v>
      </c>
      <c r="O104" s="4" t="s">
        <v>28</v>
      </c>
      <c r="P104" s="4" t="s">
        <v>65</v>
      </c>
      <c r="Q104" s="4" t="str">
        <f t="shared" si="4"/>
        <v>Won</v>
      </c>
      <c r="R104" s="9">
        <v>4500.0</v>
      </c>
      <c r="S104" s="10">
        <v>46075.0</v>
      </c>
      <c r="T104" s="10">
        <v>46099.0</v>
      </c>
      <c r="U104" s="4" t="s">
        <v>107</v>
      </c>
    </row>
    <row r="105" ht="15.75" customHeight="1">
      <c r="A105" s="4" t="s">
        <v>604</v>
      </c>
      <c r="B105" s="4" t="s">
        <v>605</v>
      </c>
      <c r="C105" s="4" t="s">
        <v>606</v>
      </c>
      <c r="D105" s="4" t="str">
        <f t="shared" si="1"/>
        <v>ana.lopez5@mail.com</v>
      </c>
      <c r="G105" s="4" t="str">
        <f t="shared" si="2"/>
        <v>Unique</v>
      </c>
      <c r="I105" s="4" t="str">
        <f>IFERROR(__xludf.DUMMYFUNCTION("IF(C105="""",""Missing"",IF(REGEXMATCH(C105,""^[^@\s]+@[^@\s]+\.[^@\s]+$""),""Valid"",""Invalid""))"),"Valid")</f>
        <v>Valid</v>
      </c>
      <c r="J105" s="4" t="s">
        <v>607</v>
      </c>
      <c r="K105" s="4" t="s">
        <v>608</v>
      </c>
      <c r="L105" s="4" t="s">
        <v>489</v>
      </c>
      <c r="M105" s="4" t="str">
        <f t="shared" si="3"/>
        <v>Usa</v>
      </c>
      <c r="N105" s="4" t="s">
        <v>133</v>
      </c>
      <c r="O105" s="4" t="s">
        <v>28</v>
      </c>
      <c r="P105" s="4" t="s">
        <v>609</v>
      </c>
      <c r="Q105" s="4" t="str">
        <f t="shared" si="4"/>
        <v>Proposal</v>
      </c>
      <c r="R105" s="9">
        <v>4500.0</v>
      </c>
      <c r="S105" s="10">
        <v>46157.0</v>
      </c>
      <c r="T105" s="10">
        <v>46184.0</v>
      </c>
    </row>
    <row r="106" ht="15.75" customHeight="1">
      <c r="A106" s="4" t="s">
        <v>610</v>
      </c>
      <c r="B106" s="4" t="s">
        <v>542</v>
      </c>
      <c r="C106" s="4" t="s">
        <v>611</v>
      </c>
      <c r="D106" s="4" t="str">
        <f t="shared" si="1"/>
        <v>valeria.castro17@gmail.com</v>
      </c>
      <c r="G106" s="4" t="str">
        <f t="shared" si="2"/>
        <v>Unique</v>
      </c>
      <c r="I106" s="4" t="str">
        <f>IFERROR(__xludf.DUMMYFUNCTION("IF(C106="""",""Missing"",IF(REGEXMATCH(C106,""^[^@\s]+@[^@\s]+\.[^@\s]+$""),""Valid"",""Invalid""))"),"Valid")</f>
        <v>Valid</v>
      </c>
      <c r="J106" s="4" t="s">
        <v>612</v>
      </c>
      <c r="K106" s="4" t="s">
        <v>237</v>
      </c>
      <c r="L106" s="4" t="s">
        <v>361</v>
      </c>
      <c r="M106" s="4" t="str">
        <f t="shared" si="3"/>
        <v>Mexico</v>
      </c>
      <c r="N106" s="4" t="s">
        <v>39</v>
      </c>
      <c r="O106" s="4" t="s">
        <v>40</v>
      </c>
      <c r="P106" s="4" t="s">
        <v>50</v>
      </c>
      <c r="Q106" s="4" t="str">
        <f t="shared" si="4"/>
        <v>New</v>
      </c>
      <c r="R106" s="9">
        <v>2500.0</v>
      </c>
      <c r="S106" s="10">
        <v>46112.0</v>
      </c>
      <c r="T106" s="10">
        <v>46123.0</v>
      </c>
      <c r="U106" s="4" t="s">
        <v>30</v>
      </c>
    </row>
    <row r="107" ht="15.75" customHeight="1">
      <c r="A107" s="4" t="s">
        <v>613</v>
      </c>
      <c r="B107" s="4" t="s">
        <v>614</v>
      </c>
      <c r="C107" s="4" t="s">
        <v>615</v>
      </c>
      <c r="D107" s="4" t="str">
        <f t="shared" si="1"/>
        <v>valeria.garcia11@outlook.com</v>
      </c>
      <c r="G107" s="4" t="str">
        <f t="shared" si="2"/>
        <v>Unique</v>
      </c>
      <c r="I107" s="4" t="str">
        <f>IFERROR(__xludf.DUMMYFUNCTION("IF(C107="""",""Missing"",IF(REGEXMATCH(C107,""^[^@\s]+@[^@\s]+\.[^@\s]+$""),""Valid"",""Invalid""))"),"Valid")</f>
        <v>Valid</v>
      </c>
      <c r="J107" s="4" t="s">
        <v>616</v>
      </c>
      <c r="K107" s="4" t="s">
        <v>617</v>
      </c>
      <c r="L107" s="4" t="s">
        <v>26</v>
      </c>
      <c r="M107" s="4" t="str">
        <f t="shared" si="3"/>
        <v>Chile</v>
      </c>
      <c r="N107" s="4" t="s">
        <v>106</v>
      </c>
      <c r="O107" s="4" t="s">
        <v>40</v>
      </c>
      <c r="P107" s="4" t="s">
        <v>65</v>
      </c>
      <c r="Q107" s="4" t="str">
        <f t="shared" si="4"/>
        <v>Won</v>
      </c>
      <c r="R107" s="9">
        <v>900.0</v>
      </c>
      <c r="S107" s="10">
        <v>46247.0</v>
      </c>
      <c r="T107" s="10">
        <v>46290.0</v>
      </c>
      <c r="U107" s="4" t="s">
        <v>30</v>
      </c>
    </row>
    <row r="108" ht="15.75" customHeight="1">
      <c r="A108" s="4" t="s">
        <v>618</v>
      </c>
      <c r="B108" s="4" t="s">
        <v>619</v>
      </c>
      <c r="C108" s="4" t="s">
        <v>621</v>
      </c>
      <c r="D108" s="4" t="str">
        <f t="shared" si="1"/>
        <v>manuel.castro90@company.com</v>
      </c>
      <c r="G108" s="4" t="str">
        <f t="shared" si="2"/>
        <v>Unique</v>
      </c>
      <c r="I108" s="4" t="str">
        <f>IFERROR(__xludf.DUMMYFUNCTION("IF(C108="""",""Missing"",IF(REGEXMATCH(C108,""^[^@\s]+@[^@\s]+\.[^@\s]+$""),""Valid"",""Invalid""))"),"Valid")</f>
        <v>Valid</v>
      </c>
      <c r="J108" s="4" t="s">
        <v>622</v>
      </c>
      <c r="K108" s="4" t="s">
        <v>453</v>
      </c>
      <c r="L108" s="4" t="s">
        <v>220</v>
      </c>
      <c r="M108" s="4" t="str">
        <f t="shared" si="3"/>
        <v>Spain</v>
      </c>
      <c r="N108" s="4" t="s">
        <v>48</v>
      </c>
      <c r="O108" s="4" t="s">
        <v>76</v>
      </c>
      <c r="P108" s="4" t="s">
        <v>77</v>
      </c>
      <c r="Q108" s="4" t="str">
        <f t="shared" si="4"/>
        <v>Proposal Sent</v>
      </c>
      <c r="R108" s="9">
        <v>750.0</v>
      </c>
      <c r="S108" s="10">
        <v>46111.0</v>
      </c>
      <c r="T108" s="10">
        <v>46144.0</v>
      </c>
    </row>
    <row r="109" ht="15.75" customHeight="1">
      <c r="A109" s="4" t="s">
        <v>624</v>
      </c>
      <c r="B109" s="4" t="s">
        <v>625</v>
      </c>
      <c r="C109" s="4" t="s">
        <v>626</v>
      </c>
      <c r="D109" s="4" t="str">
        <f t="shared" si="1"/>
        <v>miguel.castro98@mail.com</v>
      </c>
      <c r="G109" s="4" t="str">
        <f t="shared" si="2"/>
        <v>Unique</v>
      </c>
      <c r="I109" s="4" t="str">
        <f>IFERROR(__xludf.DUMMYFUNCTION("IF(C109="""",""Missing"",IF(REGEXMATCH(C109,""^[^@\s]+@[^@\s]+\.[^@\s]+$""),""Valid"",""Invalid""))"),"Valid")</f>
        <v>Valid</v>
      </c>
      <c r="J109" s="4" t="s">
        <v>627</v>
      </c>
      <c r="K109" s="4" t="s">
        <v>210</v>
      </c>
      <c r="L109" s="4" t="s">
        <v>174</v>
      </c>
      <c r="M109" s="4" t="str">
        <f t="shared" si="3"/>
        <v>Colombia</v>
      </c>
      <c r="N109" s="4" t="s">
        <v>57</v>
      </c>
      <c r="O109" s="4" t="s">
        <v>40</v>
      </c>
      <c r="P109" s="4" t="s">
        <v>77</v>
      </c>
      <c r="Q109" s="4" t="str">
        <f t="shared" si="4"/>
        <v>Proposal Sent</v>
      </c>
      <c r="R109" s="9">
        <v>900.0</v>
      </c>
      <c r="S109" s="10">
        <v>46087.0</v>
      </c>
      <c r="T109" s="10">
        <v>46107.0</v>
      </c>
      <c r="U109" s="4" t="s">
        <v>66</v>
      </c>
    </row>
    <row r="110" ht="15.75" customHeight="1">
      <c r="A110" s="4" t="s">
        <v>629</v>
      </c>
      <c r="B110" s="4" t="s">
        <v>630</v>
      </c>
      <c r="C110" s="4" t="s">
        <v>631</v>
      </c>
      <c r="D110" s="4" t="str">
        <f t="shared" si="1"/>
        <v>ana.hernandez93@outlook.com</v>
      </c>
      <c r="G110" s="4" t="str">
        <f t="shared" si="2"/>
        <v>Unique</v>
      </c>
      <c r="I110" s="4" t="str">
        <f>IFERROR(__xludf.DUMMYFUNCTION("IF(C110="""",""Missing"",IF(REGEXMATCH(C110,""^[^@\s]+@[^@\s]+\.[^@\s]+$""),""Valid"",""Invalid""))"),"Valid")</f>
        <v>Valid</v>
      </c>
      <c r="J110" s="4" t="s">
        <v>633</v>
      </c>
      <c r="K110" s="4" t="s">
        <v>634</v>
      </c>
      <c r="L110" s="4" t="s">
        <v>38</v>
      </c>
      <c r="M110" s="4" t="str">
        <f t="shared" si="3"/>
        <v>Chile</v>
      </c>
      <c r="N110" s="4" t="s">
        <v>57</v>
      </c>
      <c r="O110" s="4" t="s">
        <v>49</v>
      </c>
      <c r="P110" s="4" t="s">
        <v>29</v>
      </c>
      <c r="Q110" s="4" t="str">
        <f t="shared" si="4"/>
        <v>Contacted</v>
      </c>
      <c r="R110" s="9">
        <v>3000.0</v>
      </c>
      <c r="S110" s="10">
        <v>46153.0</v>
      </c>
      <c r="T110" s="10">
        <v>46171.0</v>
      </c>
    </row>
    <row r="111" ht="15.75" customHeight="1">
      <c r="A111" s="4" t="s">
        <v>636</v>
      </c>
      <c r="B111" s="4" t="s">
        <v>637</v>
      </c>
      <c r="C111" s="4" t="s">
        <v>638</v>
      </c>
      <c r="D111" s="4" t="str">
        <f t="shared" si="1"/>
        <v>miguel.ramirez23@mail.com</v>
      </c>
      <c r="G111" s="4" t="str">
        <f t="shared" si="2"/>
        <v>Unique</v>
      </c>
      <c r="I111" s="4" t="str">
        <f>IFERROR(__xludf.DUMMYFUNCTION("IF(C111="""",""Missing"",IF(REGEXMATCH(C111,""^[^@\s]+@[^@\s]+\.[^@\s]+$""),""Valid"",""Invalid""))"),"Valid")</f>
        <v>Valid</v>
      </c>
      <c r="J111" s="4" t="s">
        <v>639</v>
      </c>
      <c r="K111" s="4" t="s">
        <v>640</v>
      </c>
      <c r="L111" s="4" t="s">
        <v>454</v>
      </c>
      <c r="M111" s="4" t="str">
        <f t="shared" si="3"/>
        <v>Us</v>
      </c>
      <c r="N111" s="4" t="s">
        <v>106</v>
      </c>
      <c r="O111" s="4" t="s">
        <v>76</v>
      </c>
      <c r="P111" s="4" t="s">
        <v>58</v>
      </c>
      <c r="Q111" s="4" t="str">
        <f t="shared" si="4"/>
        <v>Lost</v>
      </c>
      <c r="R111" s="9">
        <v>1500.0</v>
      </c>
      <c r="S111" s="10">
        <v>46062.0</v>
      </c>
      <c r="T111" s="10">
        <v>46064.0</v>
      </c>
      <c r="U111" s="4" t="s">
        <v>95</v>
      </c>
    </row>
    <row r="112" ht="15.75" customHeight="1">
      <c r="A112" s="4" t="s">
        <v>642</v>
      </c>
      <c r="B112" s="4" t="s">
        <v>373</v>
      </c>
      <c r="C112" s="4" t="s">
        <v>643</v>
      </c>
      <c r="D112" s="4" t="str">
        <f t="shared" si="1"/>
        <v>jose.gomez79@mail.com</v>
      </c>
      <c r="G112" s="4" t="str">
        <f t="shared" si="2"/>
        <v>Unique</v>
      </c>
      <c r="I112" s="4" t="str">
        <f>IFERROR(__xludf.DUMMYFUNCTION("IF(C112="""",""Missing"",IF(REGEXMATCH(C112,""^[^@\s]+@[^@\s]+\.[^@\s]+$""),""Valid"",""Invalid""))"),"Valid")</f>
        <v>Valid</v>
      </c>
      <c r="J112" s="4" t="s">
        <v>644</v>
      </c>
      <c r="K112" s="4" t="s">
        <v>645</v>
      </c>
      <c r="L112" s="4" t="s">
        <v>151</v>
      </c>
      <c r="M112" s="4" t="str">
        <f t="shared" si="3"/>
        <v>El Salvador</v>
      </c>
      <c r="N112" s="4" t="s">
        <v>27</v>
      </c>
      <c r="O112" s="4" t="s">
        <v>217</v>
      </c>
      <c r="P112" s="4" t="s">
        <v>77</v>
      </c>
      <c r="Q112" s="4" t="str">
        <f t="shared" si="4"/>
        <v>Proposal Sent</v>
      </c>
      <c r="R112" s="9">
        <v>750.0</v>
      </c>
      <c r="S112" s="10">
        <v>46082.0</v>
      </c>
      <c r="T112" s="10">
        <v>46092.0</v>
      </c>
      <c r="U112" s="4" t="s">
        <v>95</v>
      </c>
    </row>
    <row r="113" ht="15.75" customHeight="1">
      <c r="A113" s="4" t="s">
        <v>647</v>
      </c>
      <c r="B113" s="4" t="s">
        <v>648</v>
      </c>
      <c r="C113" s="4" t="s">
        <v>649</v>
      </c>
      <c r="D113" s="4" t="str">
        <f t="shared" si="1"/>
        <v>alejandro.morales37@company.com</v>
      </c>
      <c r="G113" s="4" t="str">
        <f t="shared" si="2"/>
        <v>Unique</v>
      </c>
      <c r="I113" s="4" t="str">
        <f>IFERROR(__xludf.DUMMYFUNCTION("IF(C113="""",""Missing"",IF(REGEXMATCH(C113,""^[^@\s]+@[^@\s]+\.[^@\s]+$""),""Valid"",""Invalid""))"),"Valid")</f>
        <v>Valid</v>
      </c>
      <c r="J113" s="4" t="s">
        <v>651</v>
      </c>
      <c r="K113" s="4" t="s">
        <v>652</v>
      </c>
      <c r="L113" s="4" t="s">
        <v>26</v>
      </c>
      <c r="M113" s="4" t="str">
        <f t="shared" si="3"/>
        <v>Chile</v>
      </c>
      <c r="N113" s="4" t="s">
        <v>39</v>
      </c>
      <c r="O113" s="4" t="s">
        <v>49</v>
      </c>
      <c r="P113" s="4" t="s">
        <v>29</v>
      </c>
      <c r="Q113" s="4" t="str">
        <f t="shared" si="4"/>
        <v>Contacted</v>
      </c>
      <c r="R113" s="9">
        <v>900.0</v>
      </c>
      <c r="S113" s="10">
        <v>46143.0</v>
      </c>
      <c r="T113" s="10">
        <v>46160.0</v>
      </c>
      <c r="U113" s="4" t="s">
        <v>95</v>
      </c>
    </row>
    <row r="114" ht="15.75" customHeight="1">
      <c r="A114" s="4" t="s">
        <v>654</v>
      </c>
      <c r="B114" s="4" t="s">
        <v>655</v>
      </c>
      <c r="C114" s="4" t="s">
        <v>656</v>
      </c>
      <c r="D114" s="4" t="str">
        <f t="shared" si="1"/>
        <v>david.flores57@outlook.com</v>
      </c>
      <c r="G114" s="4" t="str">
        <f t="shared" si="2"/>
        <v>Unique</v>
      </c>
      <c r="I114" s="4" t="str">
        <f>IFERROR(__xludf.DUMMYFUNCTION("IF(C114="""",""Missing"",IF(REGEXMATCH(C114,""^[^@\s]+@[^@\s]+\.[^@\s]+$""),""Valid"",""Invalid""))"),"Valid")</f>
        <v>Valid</v>
      </c>
      <c r="J114" s="4" t="s">
        <v>657</v>
      </c>
      <c r="K114" s="4" t="s">
        <v>414</v>
      </c>
      <c r="L114" s="4" t="s">
        <v>489</v>
      </c>
      <c r="M114" s="4" t="str">
        <f t="shared" si="3"/>
        <v>Usa</v>
      </c>
      <c r="N114" s="4" t="s">
        <v>106</v>
      </c>
      <c r="O114" s="4" t="s">
        <v>49</v>
      </c>
      <c r="P114" s="4" t="s">
        <v>134</v>
      </c>
      <c r="Q114" s="4" t="str">
        <f t="shared" si="4"/>
        <v>Qualified</v>
      </c>
      <c r="R114" s="9">
        <v>4500.0</v>
      </c>
      <c r="S114" s="10">
        <v>46042.0</v>
      </c>
      <c r="T114" s="10">
        <v>46042.0</v>
      </c>
      <c r="U114" s="4" t="s">
        <v>66</v>
      </c>
    </row>
    <row r="115" ht="15.75" customHeight="1">
      <c r="A115" s="4" t="s">
        <v>659</v>
      </c>
      <c r="B115" s="4" t="s">
        <v>660</v>
      </c>
      <c r="C115" s="4" t="s">
        <v>661</v>
      </c>
      <c r="D115" s="4" t="str">
        <f t="shared" si="1"/>
        <v>ana.ortiz72@gmail</v>
      </c>
      <c r="E115" s="11" t="s">
        <v>662</v>
      </c>
      <c r="F115" s="11"/>
      <c r="G115" s="4" t="str">
        <f t="shared" si="2"/>
        <v>Unique</v>
      </c>
      <c r="I115" s="4" t="str">
        <f>IFERROR(__xludf.DUMMYFUNCTION("IF(C115="""",""Missing"",IF(REGEXMATCH(C115,""^[^@\s]+@[^@\s]+\.[^@\s]+$""),""Valid"",""Invalid""))"),"Invalid")</f>
        <v>Invalid</v>
      </c>
      <c r="J115" s="4" t="s">
        <v>663</v>
      </c>
      <c r="K115" s="4" t="s">
        <v>332</v>
      </c>
      <c r="L115" s="4" t="s">
        <v>664</v>
      </c>
      <c r="M115" s="4" t="str">
        <f t="shared" si="3"/>
        <v>Spain</v>
      </c>
      <c r="N115" s="4" t="s">
        <v>106</v>
      </c>
      <c r="O115" s="4" t="s">
        <v>40</v>
      </c>
      <c r="P115" s="4" t="s">
        <v>50</v>
      </c>
      <c r="Q115" s="4" t="str">
        <f t="shared" si="4"/>
        <v>New</v>
      </c>
      <c r="R115" s="9">
        <v>750.0</v>
      </c>
      <c r="S115" s="10">
        <v>46264.0</v>
      </c>
      <c r="T115" s="10"/>
      <c r="U115" s="4" t="s">
        <v>95</v>
      </c>
    </row>
    <row r="116" ht="15.75" customHeight="1">
      <c r="A116" s="4" t="s">
        <v>666</v>
      </c>
      <c r="B116" s="4" t="s">
        <v>667</v>
      </c>
      <c r="C116" s="4" t="s">
        <v>668</v>
      </c>
      <c r="D116" s="4" t="str">
        <f t="shared" si="1"/>
        <v>paula.lopez23@gmail.com</v>
      </c>
      <c r="G116" s="4" t="str">
        <f t="shared" si="2"/>
        <v>Unique</v>
      </c>
      <c r="I116" s="4" t="str">
        <f>IFERROR(__xludf.DUMMYFUNCTION("IF(C116="""",""Missing"",IF(REGEXMATCH(C116,""^[^@\s]+@[^@\s]+\.[^@\s]+$""),""Valid"",""Invalid""))"),"Valid")</f>
        <v>Valid</v>
      </c>
      <c r="J116" s="4" t="s">
        <v>670</v>
      </c>
      <c r="K116" s="4" t="s">
        <v>671</v>
      </c>
      <c r="L116" s="4" t="s">
        <v>489</v>
      </c>
      <c r="M116" s="4" t="str">
        <f t="shared" si="3"/>
        <v>Usa</v>
      </c>
      <c r="N116" s="4" t="s">
        <v>48</v>
      </c>
      <c r="O116" s="4" t="s">
        <v>28</v>
      </c>
      <c r="P116" s="4" t="s">
        <v>77</v>
      </c>
      <c r="Q116" s="4" t="str">
        <f t="shared" si="4"/>
        <v>Proposal Sent</v>
      </c>
      <c r="R116" s="9">
        <v>2500.0</v>
      </c>
      <c r="S116" s="10">
        <v>46119.0</v>
      </c>
      <c r="T116" s="10">
        <v>46133.0</v>
      </c>
      <c r="U116" s="4" t="s">
        <v>41</v>
      </c>
    </row>
    <row r="117" ht="15.75" customHeight="1">
      <c r="A117" s="4" t="s">
        <v>672</v>
      </c>
      <c r="B117" s="4" t="s">
        <v>673</v>
      </c>
      <c r="C117" s="4" t="s">
        <v>674</v>
      </c>
      <c r="D117" s="4" t="str">
        <f t="shared" si="1"/>
        <v>carolina.rivera48@mail.com</v>
      </c>
      <c r="G117" s="4" t="str">
        <f t="shared" si="2"/>
        <v>Unique</v>
      </c>
      <c r="I117" s="4" t="str">
        <f>IFERROR(__xludf.DUMMYFUNCTION("IF(C117="""",""Missing"",IF(REGEXMATCH(C117,""^[^@\s]+@[^@\s]+\.[^@\s]+$""),""Valid"",""Invalid""))"),"Valid")</f>
        <v>Valid</v>
      </c>
      <c r="J117" s="4" t="s">
        <v>677</v>
      </c>
      <c r="K117" s="4" t="s">
        <v>414</v>
      </c>
      <c r="L117" s="4" t="s">
        <v>538</v>
      </c>
      <c r="M117" s="4" t="str">
        <f t="shared" si="3"/>
        <v>Spain</v>
      </c>
      <c r="N117" s="4" t="s">
        <v>57</v>
      </c>
      <c r="O117" s="4" t="s">
        <v>49</v>
      </c>
      <c r="P117" s="4" t="s">
        <v>77</v>
      </c>
      <c r="Q117" s="4" t="str">
        <f t="shared" si="4"/>
        <v>Proposal Sent</v>
      </c>
      <c r="R117" s="9">
        <v>500.0</v>
      </c>
      <c r="S117" s="10">
        <v>46126.0</v>
      </c>
      <c r="T117" s="10">
        <v>46164.0</v>
      </c>
      <c r="U117" s="4" t="s">
        <v>95</v>
      </c>
    </row>
    <row r="118" ht="15.75" customHeight="1">
      <c r="A118" s="4" t="s">
        <v>679</v>
      </c>
      <c r="B118" s="4" t="s">
        <v>680</v>
      </c>
      <c r="C118" s="4" t="s">
        <v>681</v>
      </c>
      <c r="D118" s="4" t="str">
        <f t="shared" si="1"/>
        <v>andres.gonzalez89@gmail.com</v>
      </c>
      <c r="G118" s="4" t="str">
        <f t="shared" si="2"/>
        <v>Unique</v>
      </c>
      <c r="I118" s="4" t="str">
        <f>IFERROR(__xludf.DUMMYFUNCTION("IF(C118="""",""Missing"",IF(REGEXMATCH(C118,""^[^@\s]+@[^@\s]+\.[^@\s]+$""),""Valid"",""Invalid""))"),"Valid")</f>
        <v>Valid</v>
      </c>
      <c r="J118" s="4" t="s">
        <v>682</v>
      </c>
      <c r="K118" s="4" t="s">
        <v>683</v>
      </c>
      <c r="L118" s="4" t="s">
        <v>26</v>
      </c>
      <c r="M118" s="4" t="str">
        <f t="shared" si="3"/>
        <v>Chile</v>
      </c>
      <c r="N118" s="4" t="s">
        <v>27</v>
      </c>
      <c r="O118" s="4" t="s">
        <v>217</v>
      </c>
      <c r="P118" s="4" t="s">
        <v>134</v>
      </c>
      <c r="Q118" s="4" t="str">
        <f t="shared" si="4"/>
        <v>Qualified</v>
      </c>
      <c r="R118" s="9">
        <v>900.0</v>
      </c>
      <c r="S118" s="10">
        <v>46194.0</v>
      </c>
      <c r="T118" s="10">
        <v>46238.0</v>
      </c>
      <c r="U118" s="4" t="s">
        <v>107</v>
      </c>
    </row>
    <row r="119" ht="15.75" customHeight="1">
      <c r="A119" s="4" t="s">
        <v>684</v>
      </c>
      <c r="B119" s="4" t="s">
        <v>685</v>
      </c>
      <c r="C119" s="4" t="s">
        <v>686</v>
      </c>
      <c r="D119" s="4" t="str">
        <f t="shared" si="1"/>
        <v>manuel.vargas39@mail.com</v>
      </c>
      <c r="G119" s="4" t="str">
        <f t="shared" si="2"/>
        <v>Unique</v>
      </c>
      <c r="I119" s="4" t="str">
        <f>IFERROR(__xludf.DUMMYFUNCTION("IF(C119="""",""Missing"",IF(REGEXMATCH(C119,""^[^@\s]+@[^@\s]+\.[^@\s]+$""),""Valid"",""Invalid""))"),"Valid")</f>
        <v>Valid</v>
      </c>
      <c r="J119" s="4" t="s">
        <v>687</v>
      </c>
      <c r="K119" s="4" t="s">
        <v>55</v>
      </c>
      <c r="L119" s="4" t="s">
        <v>38</v>
      </c>
      <c r="M119" s="4" t="str">
        <f t="shared" si="3"/>
        <v>Chile</v>
      </c>
      <c r="N119" s="4" t="s">
        <v>48</v>
      </c>
      <c r="O119" s="4" t="s">
        <v>40</v>
      </c>
      <c r="P119" s="4" t="s">
        <v>58</v>
      </c>
      <c r="Q119" s="4" t="str">
        <f t="shared" si="4"/>
        <v>Lost</v>
      </c>
      <c r="R119" s="9">
        <v>1500.0</v>
      </c>
      <c r="S119" s="10">
        <v>46205.0</v>
      </c>
      <c r="T119" s="10">
        <v>46235.0</v>
      </c>
    </row>
    <row r="120" ht="15.75" customHeight="1">
      <c r="A120" s="4" t="s">
        <v>688</v>
      </c>
      <c r="B120" s="4" t="s">
        <v>689</v>
      </c>
      <c r="C120" s="4" t="s">
        <v>690</v>
      </c>
      <c r="D120" s="4" t="str">
        <f t="shared" si="1"/>
        <v>raul.vargas51@gmail.com</v>
      </c>
      <c r="G120" s="4" t="str">
        <f t="shared" si="2"/>
        <v>Unique</v>
      </c>
      <c r="I120" s="4" t="str">
        <f>IFERROR(__xludf.DUMMYFUNCTION("IF(C120="""",""Missing"",IF(REGEXMATCH(C120,""^[^@\s]+@[^@\s]+\.[^@\s]+$""),""Valid"",""Invalid""))"),"Valid")</f>
        <v>Valid</v>
      </c>
      <c r="J120" s="4" t="s">
        <v>691</v>
      </c>
      <c r="K120" s="4" t="s">
        <v>692</v>
      </c>
      <c r="L120" s="4" t="s">
        <v>82</v>
      </c>
      <c r="M120" s="4" t="str">
        <f t="shared" si="3"/>
        <v>Spain</v>
      </c>
      <c r="N120" s="4" t="s">
        <v>133</v>
      </c>
      <c r="O120" s="4" t="s">
        <v>49</v>
      </c>
      <c r="P120" s="4" t="s">
        <v>77</v>
      </c>
      <c r="Q120" s="4" t="str">
        <f t="shared" si="4"/>
        <v>Proposal Sent</v>
      </c>
      <c r="R120" s="9">
        <v>350.0</v>
      </c>
      <c r="S120" s="10">
        <v>46240.0</v>
      </c>
      <c r="T120" s="10">
        <v>46276.0</v>
      </c>
      <c r="U120" s="4" t="s">
        <v>107</v>
      </c>
    </row>
    <row r="121" ht="15.75" customHeight="1">
      <c r="A121" s="4" t="s">
        <v>693</v>
      </c>
      <c r="B121" s="4" t="s">
        <v>694</v>
      </c>
      <c r="C121" s="4" t="s">
        <v>695</v>
      </c>
      <c r="D121" s="4" t="str">
        <f t="shared" si="1"/>
        <v>luis.hernandez26@mail.com</v>
      </c>
      <c r="G121" s="4" t="str">
        <f t="shared" si="2"/>
        <v>Unique</v>
      </c>
      <c r="I121" s="4" t="str">
        <f>IFERROR(__xludf.DUMMYFUNCTION("IF(C121="""",""Missing"",IF(REGEXMATCH(C121,""^[^@\s]+@[^@\s]+\.[^@\s]+$""),""Valid"",""Invalid""))"),"Valid")</f>
        <v>Valid</v>
      </c>
      <c r="J121" s="4" t="s">
        <v>696</v>
      </c>
      <c r="L121" s="4" t="s">
        <v>140</v>
      </c>
      <c r="M121" s="4" t="str">
        <f t="shared" si="3"/>
        <v>Perú</v>
      </c>
      <c r="N121" s="4" t="s">
        <v>57</v>
      </c>
      <c r="O121" s="4" t="s">
        <v>40</v>
      </c>
      <c r="P121" s="4" t="s">
        <v>77</v>
      </c>
      <c r="Q121" s="4" t="str">
        <f t="shared" si="4"/>
        <v>Proposal Sent</v>
      </c>
      <c r="R121" s="9">
        <v>1500.0</v>
      </c>
      <c r="S121" s="10">
        <v>46065.0</v>
      </c>
      <c r="T121" s="10">
        <v>46080.0</v>
      </c>
      <c r="U121" s="4" t="s">
        <v>41</v>
      </c>
    </row>
    <row r="122" ht="15.75" customHeight="1">
      <c r="A122" s="4" t="s">
        <v>697</v>
      </c>
      <c r="B122" s="4" t="s">
        <v>698</v>
      </c>
      <c r="C122" s="4" t="s">
        <v>699</v>
      </c>
      <c r="D122" s="4" t="str">
        <f t="shared" si="1"/>
        <v>lucia.vargas98@gmail.com</v>
      </c>
      <c r="G122" s="4" t="str">
        <f t="shared" si="2"/>
        <v>Unique</v>
      </c>
      <c r="I122" s="4" t="str">
        <f>IFERROR(__xludf.DUMMYFUNCTION("IF(C122="""",""Missing"",IF(REGEXMATCH(C122,""^[^@\s]+@[^@\s]+\.[^@\s]+$""),""Valid"",""Invalid""))"),"Valid")</f>
        <v>Valid</v>
      </c>
      <c r="J122" s="4" t="s">
        <v>700</v>
      </c>
      <c r="K122" s="4" t="s">
        <v>125</v>
      </c>
      <c r="L122" s="4" t="s">
        <v>75</v>
      </c>
      <c r="M122" s="4" t="str">
        <f t="shared" si="3"/>
        <v>United States</v>
      </c>
      <c r="N122" s="4" t="s">
        <v>48</v>
      </c>
      <c r="O122" s="4" t="s">
        <v>28</v>
      </c>
      <c r="P122" s="4" t="s">
        <v>50</v>
      </c>
      <c r="Q122" s="4" t="str">
        <f t="shared" si="4"/>
        <v>New</v>
      </c>
      <c r="R122" s="9">
        <v>1500.0</v>
      </c>
      <c r="S122" s="10">
        <v>46078.0</v>
      </c>
      <c r="T122" s="10">
        <v>46106.0</v>
      </c>
      <c r="U122" s="4" t="s">
        <v>41</v>
      </c>
    </row>
    <row r="123" ht="15.75" customHeight="1">
      <c r="A123" s="4" t="s">
        <v>701</v>
      </c>
      <c r="B123" s="4" t="s">
        <v>702</v>
      </c>
      <c r="C123" s="4" t="s">
        <v>703</v>
      </c>
      <c r="D123" s="4" t="str">
        <f t="shared" si="1"/>
        <v>lucia.diaz1@company.com</v>
      </c>
      <c r="G123" s="4" t="str">
        <f t="shared" si="2"/>
        <v>Unique</v>
      </c>
      <c r="I123" s="4" t="str">
        <f>IFERROR(__xludf.DUMMYFUNCTION("IF(C123="""",""Missing"",IF(REGEXMATCH(C123,""^[^@\s]+@[^@\s]+\.[^@\s]+$""),""Valid"",""Invalid""))"),"Valid")</f>
        <v>Valid</v>
      </c>
      <c r="J123" s="4" t="s">
        <v>704</v>
      </c>
      <c r="K123" s="4" t="s">
        <v>200</v>
      </c>
      <c r="L123" s="4" t="s">
        <v>201</v>
      </c>
      <c r="M123" s="4" t="str">
        <f t="shared" si="3"/>
        <v>Mexico</v>
      </c>
      <c r="N123" s="4" t="s">
        <v>133</v>
      </c>
      <c r="O123" s="4" t="s">
        <v>217</v>
      </c>
      <c r="P123" s="4" t="s">
        <v>134</v>
      </c>
      <c r="Q123" s="4" t="str">
        <f t="shared" si="4"/>
        <v>Qualified</v>
      </c>
      <c r="R123" s="9">
        <v>1200.0</v>
      </c>
      <c r="S123" s="10">
        <v>46202.0</v>
      </c>
      <c r="T123" s="10">
        <v>46228.0</v>
      </c>
    </row>
    <row r="124" ht="15.75" customHeight="1">
      <c r="A124" s="4" t="s">
        <v>705</v>
      </c>
      <c r="B124" s="4" t="s">
        <v>706</v>
      </c>
      <c r="C124" s="4" t="s">
        <v>707</v>
      </c>
      <c r="D124" s="4" t="str">
        <f t="shared" si="1"/>
        <v>daniel.gomez70@outlook.com</v>
      </c>
      <c r="G124" s="4" t="str">
        <f t="shared" si="2"/>
        <v>Unique</v>
      </c>
      <c r="I124" s="4" t="str">
        <f>IFERROR(__xludf.DUMMYFUNCTION("IF(C124="""",""Missing"",IF(REGEXMATCH(C124,""^[^@\s]+@[^@\s]+\.[^@\s]+$""),""Valid"",""Invalid""))"),"Valid")</f>
        <v>Valid</v>
      </c>
      <c r="J124" s="4" t="s">
        <v>708</v>
      </c>
      <c r="K124" s="4" t="s">
        <v>709</v>
      </c>
      <c r="L124" s="4" t="s">
        <v>132</v>
      </c>
      <c r="M124" s="4" t="str">
        <f t="shared" si="3"/>
        <v>Argentina</v>
      </c>
      <c r="N124" s="4" t="s">
        <v>106</v>
      </c>
      <c r="O124" s="4" t="s">
        <v>28</v>
      </c>
      <c r="P124" s="4" t="s">
        <v>58</v>
      </c>
      <c r="Q124" s="4" t="str">
        <f t="shared" si="4"/>
        <v>Lost</v>
      </c>
      <c r="R124" s="9">
        <v>500.0</v>
      </c>
      <c r="S124" s="10">
        <v>46204.0</v>
      </c>
      <c r="T124" s="10">
        <v>46204.0</v>
      </c>
    </row>
    <row r="125" ht="15.75" customHeight="1">
      <c r="A125" s="4" t="s">
        <v>710</v>
      </c>
      <c r="B125" s="4" t="s">
        <v>711</v>
      </c>
      <c r="D125" s="4" t="str">
        <f t="shared" si="1"/>
        <v/>
      </c>
      <c r="G125" s="4" t="str">
        <f t="shared" si="2"/>
        <v>Missing Email</v>
      </c>
      <c r="I125" s="4" t="str">
        <f>IFERROR(__xludf.DUMMYFUNCTION("IF(C125="""",""Missing"",IF(REGEXMATCH(C125,""^[^@\s]+@[^@\s]+\.[^@\s]+$""),""Valid"",""Invalid""))"),"Missing")</f>
        <v>Missing</v>
      </c>
      <c r="J125" s="4" t="s">
        <v>712</v>
      </c>
      <c r="K125" s="4" t="s">
        <v>713</v>
      </c>
      <c r="L125" s="4" t="s">
        <v>582</v>
      </c>
      <c r="M125" s="4" t="str">
        <f t="shared" si="3"/>
        <v>Spain</v>
      </c>
      <c r="N125" s="4" t="s">
        <v>106</v>
      </c>
      <c r="O125" s="4" t="s">
        <v>76</v>
      </c>
      <c r="P125" s="4" t="s">
        <v>134</v>
      </c>
      <c r="Q125" s="4" t="str">
        <f t="shared" si="4"/>
        <v>Qualified</v>
      </c>
      <c r="R125" s="9">
        <v>900.0</v>
      </c>
      <c r="S125" s="10">
        <v>46187.0</v>
      </c>
      <c r="T125" s="10">
        <v>46216.0</v>
      </c>
      <c r="U125" s="4" t="s">
        <v>107</v>
      </c>
    </row>
    <row r="126" ht="15.75" customHeight="1">
      <c r="A126" s="4" t="s">
        <v>714</v>
      </c>
      <c r="B126" s="4" t="s">
        <v>471</v>
      </c>
      <c r="C126" s="4" t="s">
        <v>715</v>
      </c>
      <c r="D126" s="4" t="str">
        <f t="shared" si="1"/>
        <v>daniel.diaz37@outlook.com</v>
      </c>
      <c r="G126" s="4" t="str">
        <f t="shared" si="2"/>
        <v>Unique</v>
      </c>
      <c r="I126" s="4" t="str">
        <f>IFERROR(__xludf.DUMMYFUNCTION("IF(C126="""",""Missing"",IF(REGEXMATCH(C126,""^[^@\s]+@[^@\s]+\.[^@\s]+$""),""Valid"",""Invalid""))"),"Valid")</f>
        <v>Valid</v>
      </c>
      <c r="J126" s="4" t="s">
        <v>716</v>
      </c>
      <c r="K126" s="4" t="s">
        <v>717</v>
      </c>
      <c r="L126" s="4" t="s">
        <v>216</v>
      </c>
      <c r="M126" s="4" t="str">
        <f t="shared" si="3"/>
        <v>Salvador</v>
      </c>
      <c r="N126" s="4" t="s">
        <v>57</v>
      </c>
      <c r="O126" s="4" t="s">
        <v>217</v>
      </c>
      <c r="P126" s="4" t="s">
        <v>65</v>
      </c>
      <c r="Q126" s="4" t="str">
        <f t="shared" si="4"/>
        <v>Won</v>
      </c>
      <c r="R126" s="9">
        <v>2000.0</v>
      </c>
      <c r="S126" s="10">
        <v>46178.0</v>
      </c>
      <c r="T126" s="10">
        <v>46201.0</v>
      </c>
    </row>
    <row r="127" ht="15.75" customHeight="1">
      <c r="A127" s="4" t="s">
        <v>718</v>
      </c>
      <c r="B127" s="4" t="s">
        <v>559</v>
      </c>
      <c r="C127" s="4" t="s">
        <v>719</v>
      </c>
      <c r="D127" s="4" t="str">
        <f t="shared" si="1"/>
        <v>david.gonzalez67@outlook.com</v>
      </c>
      <c r="G127" s="4" t="str">
        <f t="shared" si="2"/>
        <v>Unique</v>
      </c>
      <c r="I127" s="4" t="str">
        <f>IFERROR(__xludf.DUMMYFUNCTION("IF(C127="""",""Missing"",IF(REGEXMATCH(C127,""^[^@\s]+@[^@\s]+\.[^@\s]+$""),""Valid"",""Invalid""))"),"Valid")</f>
        <v>Valid</v>
      </c>
      <c r="J127" s="4" t="s">
        <v>720</v>
      </c>
      <c r="K127" s="4" t="s">
        <v>161</v>
      </c>
      <c r="L127" s="4" t="s">
        <v>538</v>
      </c>
      <c r="M127" s="4" t="str">
        <f t="shared" si="3"/>
        <v>Spain</v>
      </c>
      <c r="N127" s="4" t="s">
        <v>133</v>
      </c>
      <c r="O127" s="4" t="s">
        <v>76</v>
      </c>
      <c r="P127" s="4" t="s">
        <v>29</v>
      </c>
      <c r="Q127" s="4" t="str">
        <f t="shared" si="4"/>
        <v>Contacted</v>
      </c>
      <c r="R127" s="9">
        <v>2500.0</v>
      </c>
      <c r="S127" s="10">
        <v>46071.0</v>
      </c>
      <c r="T127" s="10">
        <v>46103.0</v>
      </c>
      <c r="U127" s="4" t="s">
        <v>66</v>
      </c>
    </row>
    <row r="128" ht="15.75" customHeight="1">
      <c r="A128" s="4" t="s">
        <v>721</v>
      </c>
      <c r="B128" s="4" t="s">
        <v>722</v>
      </c>
      <c r="C128" s="4" t="s">
        <v>723</v>
      </c>
      <c r="D128" s="4" t="str">
        <f t="shared" si="1"/>
        <v>diego.hernandez61@gmail.com</v>
      </c>
      <c r="G128" s="4" t="str">
        <f t="shared" si="2"/>
        <v>Unique</v>
      </c>
      <c r="I128" s="4" t="str">
        <f>IFERROR(__xludf.DUMMYFUNCTION("IF(C128="""",""Missing"",IF(REGEXMATCH(C128,""^[^@\s]+@[^@\s]+\.[^@\s]+$""),""Valid"",""Invalid""))"),"Valid")</f>
        <v>Valid</v>
      </c>
      <c r="J128" s="4" t="s">
        <v>724</v>
      </c>
      <c r="K128" s="4" t="s">
        <v>293</v>
      </c>
      <c r="L128" s="4" t="s">
        <v>38</v>
      </c>
      <c r="M128" s="4" t="str">
        <f t="shared" si="3"/>
        <v>Chile</v>
      </c>
      <c r="N128" s="4" t="s">
        <v>27</v>
      </c>
      <c r="O128" s="4" t="s">
        <v>76</v>
      </c>
      <c r="P128" s="4" t="s">
        <v>58</v>
      </c>
      <c r="Q128" s="4" t="str">
        <f t="shared" si="4"/>
        <v>Lost</v>
      </c>
      <c r="R128" s="9">
        <v>4500.0</v>
      </c>
      <c r="S128" s="10">
        <v>46137.0</v>
      </c>
      <c r="T128" s="10">
        <v>46154.0</v>
      </c>
      <c r="U128" s="4" t="s">
        <v>41</v>
      </c>
    </row>
    <row r="129" ht="15.75" customHeight="1">
      <c r="A129" s="4" t="s">
        <v>725</v>
      </c>
      <c r="B129" s="4" t="s">
        <v>726</v>
      </c>
      <c r="C129" s="4" t="s">
        <v>727</v>
      </c>
      <c r="D129" s="4" t="str">
        <f t="shared" si="1"/>
        <v>sofia.lopez20@gmail.com</v>
      </c>
      <c r="G129" s="4" t="str">
        <f t="shared" si="2"/>
        <v>Unique</v>
      </c>
      <c r="I129" s="4" t="str">
        <f>IFERROR(__xludf.DUMMYFUNCTION("IF(C129="""",""Missing"",IF(REGEXMATCH(C129,""^[^@\s]+@[^@\s]+\.[^@\s]+$""),""Valid"",""Invalid""))"),"Valid")</f>
        <v>Valid</v>
      </c>
      <c r="J129" s="4" t="s">
        <v>728</v>
      </c>
      <c r="K129" s="4" t="s">
        <v>419</v>
      </c>
      <c r="L129" s="4" t="s">
        <v>56</v>
      </c>
      <c r="M129" s="4" t="str">
        <f t="shared" si="3"/>
        <v>Argentina</v>
      </c>
      <c r="N129" s="4" t="s">
        <v>57</v>
      </c>
      <c r="O129" s="4" t="s">
        <v>40</v>
      </c>
      <c r="P129" s="4" t="s">
        <v>50</v>
      </c>
      <c r="Q129" s="4" t="str">
        <f t="shared" si="4"/>
        <v>New</v>
      </c>
      <c r="R129" s="9">
        <v>350.0</v>
      </c>
      <c r="S129" s="10">
        <v>46230.0</v>
      </c>
      <c r="T129" s="10"/>
      <c r="U129" s="4" t="s">
        <v>107</v>
      </c>
    </row>
    <row r="130" ht="15.75" customHeight="1">
      <c r="A130" s="4" t="s">
        <v>729</v>
      </c>
      <c r="B130" s="4" t="s">
        <v>730</v>
      </c>
      <c r="C130" s="4" t="s">
        <v>731</v>
      </c>
      <c r="D130" s="4" t="str">
        <f t="shared" si="1"/>
        <v>sofia.diaz89@mail.com</v>
      </c>
      <c r="G130" s="4" t="str">
        <f t="shared" si="2"/>
        <v>Unique</v>
      </c>
      <c r="I130" s="4" t="str">
        <f>IFERROR(__xludf.DUMMYFUNCTION("IF(C130="""",""Missing"",IF(REGEXMATCH(C130,""^[^@\s]+@[^@\s]+\.[^@\s]+$""),""Valid"",""Invalid""))"),"Valid")</f>
        <v>Valid</v>
      </c>
      <c r="J130" s="4" t="s">
        <v>732</v>
      </c>
      <c r="K130" s="4" t="s">
        <v>332</v>
      </c>
      <c r="L130" s="4" t="s">
        <v>283</v>
      </c>
      <c r="M130" s="4" t="str">
        <f t="shared" si="3"/>
        <v>Colombia</v>
      </c>
      <c r="N130" s="4" t="s">
        <v>57</v>
      </c>
      <c r="O130" s="4" t="s">
        <v>49</v>
      </c>
      <c r="P130" s="4" t="s">
        <v>134</v>
      </c>
      <c r="Q130" s="4" t="str">
        <f t="shared" si="4"/>
        <v>Qualified</v>
      </c>
      <c r="R130" s="9">
        <v>750.0</v>
      </c>
      <c r="S130" s="10">
        <v>46139.0</v>
      </c>
      <c r="T130" s="10">
        <v>46161.0</v>
      </c>
      <c r="U130" s="4" t="s">
        <v>30</v>
      </c>
    </row>
    <row r="131" ht="15.75" customHeight="1">
      <c r="A131" s="4" t="s">
        <v>733</v>
      </c>
      <c r="B131" s="4" t="s">
        <v>279</v>
      </c>
      <c r="C131" s="4" t="s">
        <v>734</v>
      </c>
      <c r="D131" s="4" t="str">
        <f t="shared" si="1"/>
        <v>maria.ortiz31@gmail.com</v>
      </c>
      <c r="G131" s="4" t="str">
        <f t="shared" si="2"/>
        <v>Unique</v>
      </c>
      <c r="I131" s="4" t="str">
        <f>IFERROR(__xludf.DUMMYFUNCTION("IF(C131="""",""Missing"",IF(REGEXMATCH(C131,""^[^@\s]+@[^@\s]+\.[^@\s]+$""),""Valid"",""Invalid""))"),"Valid")</f>
        <v>Valid</v>
      </c>
      <c r="J131" s="4" t="s">
        <v>735</v>
      </c>
      <c r="K131" s="4" t="s">
        <v>100</v>
      </c>
      <c r="L131" s="4" t="s">
        <v>38</v>
      </c>
      <c r="M131" s="4" t="str">
        <f t="shared" si="3"/>
        <v>Chile</v>
      </c>
      <c r="N131" s="4" t="s">
        <v>39</v>
      </c>
      <c r="O131" s="4" t="s">
        <v>76</v>
      </c>
      <c r="P131" s="4" t="s">
        <v>29</v>
      </c>
      <c r="Q131" s="4" t="str">
        <f t="shared" si="4"/>
        <v>Contacted</v>
      </c>
      <c r="R131" s="9">
        <v>750.0</v>
      </c>
      <c r="S131" s="10">
        <v>46058.0</v>
      </c>
      <c r="T131" s="10">
        <v>46091.0</v>
      </c>
    </row>
    <row r="132" ht="15.75" customHeight="1">
      <c r="A132" s="4" t="s">
        <v>736</v>
      </c>
      <c r="B132" s="4" t="s">
        <v>737</v>
      </c>
      <c r="C132" s="4" t="s">
        <v>738</v>
      </c>
      <c r="D132" s="4" t="str">
        <f t="shared" si="1"/>
        <v>paula.flores21@mail.com</v>
      </c>
      <c r="G132" s="4" t="str">
        <f t="shared" si="2"/>
        <v>Unique</v>
      </c>
      <c r="I132" s="4" t="str">
        <f>IFERROR(__xludf.DUMMYFUNCTION("IF(C132="""",""Missing"",IF(REGEXMATCH(C132,""^[^@\s]+@[^@\s]+\.[^@\s]+$""),""Valid"",""Invalid""))"),"Valid")</f>
        <v>Valid</v>
      </c>
      <c r="J132" s="4" t="s">
        <v>739</v>
      </c>
      <c r="K132" s="4" t="s">
        <v>740</v>
      </c>
      <c r="L132" s="4" t="s">
        <v>546</v>
      </c>
      <c r="M132" s="4" t="str">
        <f t="shared" si="3"/>
        <v>Mexico</v>
      </c>
      <c r="N132" s="4" t="s">
        <v>106</v>
      </c>
      <c r="O132" s="4" t="s">
        <v>40</v>
      </c>
      <c r="P132" s="4" t="s">
        <v>58</v>
      </c>
      <c r="Q132" s="4" t="str">
        <f t="shared" si="4"/>
        <v>Lost</v>
      </c>
      <c r="R132" s="9">
        <v>1200.0</v>
      </c>
      <c r="S132" s="10">
        <v>46218.0</v>
      </c>
      <c r="T132" s="10">
        <v>46221.0</v>
      </c>
      <c r="U132" s="4" t="s">
        <v>95</v>
      </c>
    </row>
    <row r="133" ht="15.75" customHeight="1">
      <c r="A133" s="4" t="s">
        <v>741</v>
      </c>
      <c r="B133" s="4" t="s">
        <v>742</v>
      </c>
      <c r="C133" s="4" t="s">
        <v>743</v>
      </c>
      <c r="D133" s="4" t="str">
        <f t="shared" si="1"/>
        <v>manuel.rivera5@company.com</v>
      </c>
      <c r="G133" s="4" t="str">
        <f t="shared" si="2"/>
        <v>Unique</v>
      </c>
      <c r="I133" s="4" t="str">
        <f>IFERROR(__xludf.DUMMYFUNCTION("IF(C133="""",""Missing"",IF(REGEXMATCH(C133,""^[^@\s]+@[^@\s]+\.[^@\s]+$""),""Valid"",""Invalid""))"),"Valid")</f>
        <v>Valid</v>
      </c>
      <c r="J133" s="4" t="s">
        <v>744</v>
      </c>
      <c r="K133" s="4" t="s">
        <v>745</v>
      </c>
      <c r="L133" s="4" t="s">
        <v>26</v>
      </c>
      <c r="M133" s="4" t="str">
        <f t="shared" si="3"/>
        <v>Chile</v>
      </c>
      <c r="N133" s="4" t="s">
        <v>106</v>
      </c>
      <c r="O133" s="4" t="s">
        <v>49</v>
      </c>
      <c r="P133" s="4" t="s">
        <v>65</v>
      </c>
      <c r="Q133" s="4" t="str">
        <f t="shared" si="4"/>
        <v>Won</v>
      </c>
      <c r="R133" s="9">
        <v>3000.0</v>
      </c>
      <c r="S133" s="10">
        <v>46152.0</v>
      </c>
      <c r="T133" s="10">
        <v>46195.0</v>
      </c>
      <c r="U133" s="4" t="s">
        <v>66</v>
      </c>
    </row>
    <row r="134" ht="15.75" customHeight="1">
      <c r="A134" s="4" t="s">
        <v>746</v>
      </c>
      <c r="B134" s="4" t="s">
        <v>747</v>
      </c>
      <c r="C134" s="4" t="s">
        <v>748</v>
      </c>
      <c r="D134" s="4" t="str">
        <f t="shared" si="1"/>
        <v>david.sanchez3@company.com</v>
      </c>
      <c r="G134" s="4" t="str">
        <f t="shared" si="2"/>
        <v>Unique</v>
      </c>
      <c r="I134" s="4" t="str">
        <f>IFERROR(__xludf.DUMMYFUNCTION("IF(C134="""",""Missing"",IF(REGEXMATCH(C134,""^[^@\s]+@[^@\s]+\.[^@\s]+$""),""Valid"",""Invalid""))"),"Valid")</f>
        <v>Valid</v>
      </c>
      <c r="J134" s="4" t="s">
        <v>750</v>
      </c>
      <c r="K134" s="4" t="s">
        <v>751</v>
      </c>
      <c r="L134" s="4" t="s">
        <v>126</v>
      </c>
      <c r="M134" s="4" t="str">
        <f t="shared" si="3"/>
        <v>Peru</v>
      </c>
      <c r="N134" s="4" t="s">
        <v>27</v>
      </c>
      <c r="O134" s="4" t="s">
        <v>49</v>
      </c>
      <c r="P134" s="4" t="s">
        <v>65</v>
      </c>
      <c r="Q134" s="4" t="str">
        <f t="shared" si="4"/>
        <v>Won</v>
      </c>
      <c r="R134" s="9">
        <v>2000.0</v>
      </c>
      <c r="S134" s="10">
        <v>46144.0</v>
      </c>
      <c r="T134" s="10">
        <v>46155.0</v>
      </c>
      <c r="U134" s="4" t="s">
        <v>95</v>
      </c>
    </row>
    <row r="135" ht="15.75" customHeight="1">
      <c r="A135" s="4" t="s">
        <v>752</v>
      </c>
      <c r="B135" s="4" t="s">
        <v>753</v>
      </c>
      <c r="C135" s="4" t="s">
        <v>754</v>
      </c>
      <c r="D135" s="4" t="str">
        <f t="shared" si="1"/>
        <v>jose.martinez32@outlook.com</v>
      </c>
      <c r="G135" s="4" t="str">
        <f t="shared" si="2"/>
        <v>Unique</v>
      </c>
      <c r="I135" s="4" t="str">
        <f>IFERROR(__xludf.DUMMYFUNCTION("IF(C135="""",""Missing"",IF(REGEXMATCH(C135,""^[^@\s]+@[^@\s]+\.[^@\s]+$""),""Valid"",""Invalid""))"),"Valid")</f>
        <v>Valid</v>
      </c>
      <c r="J135" s="4" t="s">
        <v>755</v>
      </c>
      <c r="K135" s="4" t="s">
        <v>483</v>
      </c>
      <c r="L135" s="4" t="s">
        <v>211</v>
      </c>
      <c r="M135" s="4" t="str">
        <f t="shared" si="3"/>
        <v>Mexico</v>
      </c>
      <c r="N135" s="4" t="s">
        <v>57</v>
      </c>
      <c r="O135" s="4" t="s">
        <v>217</v>
      </c>
      <c r="P135" s="4" t="s">
        <v>134</v>
      </c>
      <c r="Q135" s="4" t="str">
        <f t="shared" si="4"/>
        <v>Qualified</v>
      </c>
      <c r="R135" s="9">
        <v>1500.0</v>
      </c>
      <c r="S135" s="10">
        <v>46102.0</v>
      </c>
      <c r="T135" s="10">
        <v>46117.0</v>
      </c>
      <c r="U135" s="4" t="s">
        <v>30</v>
      </c>
    </row>
    <row r="136" ht="15.75" customHeight="1">
      <c r="A136" s="4" t="s">
        <v>756</v>
      </c>
      <c r="B136" s="4" t="s">
        <v>234</v>
      </c>
      <c r="C136" s="4" t="s">
        <v>757</v>
      </c>
      <c r="D136" s="4" t="str">
        <f t="shared" si="1"/>
        <v>patricia.diaz3@mail.com</v>
      </c>
      <c r="G136" s="4" t="str">
        <f t="shared" si="2"/>
        <v>Unique</v>
      </c>
      <c r="I136" s="4" t="str">
        <f>IFERROR(__xludf.DUMMYFUNCTION("IF(C136="""",""Missing"",IF(REGEXMATCH(C136,""^[^@\s]+@[^@\s]+\.[^@\s]+$""),""Valid"",""Invalid""))"),"Valid")</f>
        <v>Valid</v>
      </c>
      <c r="J136" s="4" t="s">
        <v>759</v>
      </c>
      <c r="K136" s="4" t="s">
        <v>760</v>
      </c>
      <c r="L136" s="4" t="s">
        <v>174</v>
      </c>
      <c r="M136" s="4" t="str">
        <f t="shared" si="3"/>
        <v>Colombia</v>
      </c>
      <c r="N136" s="4" t="s">
        <v>106</v>
      </c>
      <c r="O136" s="4" t="s">
        <v>40</v>
      </c>
      <c r="P136" s="4" t="s">
        <v>29</v>
      </c>
      <c r="Q136" s="4" t="str">
        <f t="shared" si="4"/>
        <v>Contacted</v>
      </c>
      <c r="R136" s="9"/>
      <c r="S136" s="10">
        <v>46156.0</v>
      </c>
      <c r="T136" s="10">
        <v>46174.0</v>
      </c>
      <c r="U136" s="4" t="s">
        <v>95</v>
      </c>
    </row>
    <row r="137" ht="15.75" customHeight="1">
      <c r="A137" s="4" t="s">
        <v>764</v>
      </c>
      <c r="B137" s="4" t="s">
        <v>300</v>
      </c>
      <c r="C137" s="4" t="s">
        <v>765</v>
      </c>
      <c r="D137" s="4" t="str">
        <f t="shared" si="1"/>
        <v>luis.flores57@company.com</v>
      </c>
      <c r="G137" s="4" t="str">
        <f t="shared" si="2"/>
        <v>Unique</v>
      </c>
      <c r="I137" s="4" t="str">
        <f>IFERROR(__xludf.DUMMYFUNCTION("IF(C137="""",""Missing"",IF(REGEXMATCH(C137,""^[^@\s]+@[^@\s]+\.[^@\s]+$""),""Valid"",""Invalid""))"),"Valid")</f>
        <v>Valid</v>
      </c>
      <c r="J137" s="4" t="s">
        <v>768</v>
      </c>
      <c r="K137" s="4" t="s">
        <v>769</v>
      </c>
      <c r="L137" s="4" t="s">
        <v>174</v>
      </c>
      <c r="M137" s="4" t="str">
        <f t="shared" si="3"/>
        <v>Colombia</v>
      </c>
      <c r="N137" s="4" t="s">
        <v>133</v>
      </c>
      <c r="O137" s="4" t="s">
        <v>49</v>
      </c>
      <c r="P137" s="4" t="s">
        <v>77</v>
      </c>
      <c r="Q137" s="4" t="str">
        <f t="shared" si="4"/>
        <v>Proposal Sent</v>
      </c>
      <c r="R137" s="9">
        <v>350.0</v>
      </c>
      <c r="S137" s="10">
        <v>46156.0</v>
      </c>
      <c r="T137" s="10">
        <v>46159.0</v>
      </c>
      <c r="U137" s="4" t="s">
        <v>30</v>
      </c>
    </row>
    <row r="138" ht="15.75" customHeight="1">
      <c r="A138" s="4" t="s">
        <v>772</v>
      </c>
      <c r="B138" s="4" t="s">
        <v>773</v>
      </c>
      <c r="C138" s="4" t="s">
        <v>774</v>
      </c>
      <c r="D138" s="4" t="str">
        <f t="shared" si="1"/>
        <v>raul.sanchez96@outlook.com</v>
      </c>
      <c r="G138" s="4" t="str">
        <f t="shared" si="2"/>
        <v>Unique</v>
      </c>
      <c r="I138" s="4" t="str">
        <f>IFERROR(__xludf.DUMMYFUNCTION("IF(C138="""",""Missing"",IF(REGEXMATCH(C138,""^[^@\s]+@[^@\s]+\.[^@\s]+$""),""Valid"",""Invalid""))"),"Valid")</f>
        <v>Valid</v>
      </c>
      <c r="J138" s="4" t="s">
        <v>778</v>
      </c>
      <c r="K138" s="4" t="s">
        <v>779</v>
      </c>
      <c r="L138" s="4" t="s">
        <v>82</v>
      </c>
      <c r="M138" s="4" t="str">
        <f t="shared" si="3"/>
        <v>Spain</v>
      </c>
      <c r="N138" s="4" t="s">
        <v>48</v>
      </c>
      <c r="O138" s="4" t="s">
        <v>49</v>
      </c>
      <c r="P138" s="4" t="s">
        <v>134</v>
      </c>
      <c r="Q138" s="4" t="str">
        <f t="shared" si="4"/>
        <v>Qualified</v>
      </c>
      <c r="R138" s="9">
        <v>4500.0</v>
      </c>
      <c r="S138" s="10">
        <v>46155.0</v>
      </c>
      <c r="T138" s="10">
        <v>46197.0</v>
      </c>
      <c r="U138" s="4" t="s">
        <v>66</v>
      </c>
    </row>
    <row r="139" ht="15.75" customHeight="1">
      <c r="A139" s="4" t="s">
        <v>780</v>
      </c>
      <c r="B139" s="4" t="s">
        <v>781</v>
      </c>
      <c r="C139" s="4" t="s">
        <v>782</v>
      </c>
      <c r="D139" s="4" t="str">
        <f t="shared" si="1"/>
        <v>paula.castro12@company.com</v>
      </c>
      <c r="G139" s="4" t="str">
        <f t="shared" si="2"/>
        <v>Unique</v>
      </c>
      <c r="I139" s="4" t="str">
        <f>IFERROR(__xludf.DUMMYFUNCTION("IF(C139="""",""Missing"",IF(REGEXMATCH(C139,""^[^@\s]+@[^@\s]+\.[^@\s]+$""),""Valid"",""Invalid""))"),"Valid")</f>
        <v>Valid</v>
      </c>
      <c r="J139" s="4" t="s">
        <v>783</v>
      </c>
      <c r="K139" s="4" t="s">
        <v>184</v>
      </c>
      <c r="L139" s="4" t="s">
        <v>489</v>
      </c>
      <c r="M139" s="4" t="str">
        <f t="shared" si="3"/>
        <v>Usa</v>
      </c>
      <c r="N139" s="4" t="s">
        <v>57</v>
      </c>
      <c r="O139" s="4" t="s">
        <v>76</v>
      </c>
      <c r="P139" s="4" t="s">
        <v>77</v>
      </c>
      <c r="Q139" s="4" t="str">
        <f t="shared" si="4"/>
        <v>Proposal Sent</v>
      </c>
      <c r="R139" s="9">
        <v>500.0</v>
      </c>
      <c r="S139" s="10">
        <v>46249.0</v>
      </c>
      <c r="T139" s="10">
        <v>46259.0</v>
      </c>
    </row>
    <row r="140" ht="15.75" customHeight="1">
      <c r="A140" s="4" t="s">
        <v>784</v>
      </c>
      <c r="B140" s="4" t="s">
        <v>785</v>
      </c>
      <c r="D140" s="4" t="str">
        <f t="shared" si="1"/>
        <v/>
      </c>
      <c r="G140" s="4" t="str">
        <f t="shared" si="2"/>
        <v>Missing Email</v>
      </c>
      <c r="I140" s="4" t="str">
        <f>IFERROR(__xludf.DUMMYFUNCTION("IF(C140="""",""Missing"",IF(REGEXMATCH(C140,""^[^@\s]+@[^@\s]+\.[^@\s]+$""),""Valid"",""Invalid""))"),"Missing")</f>
        <v>Missing</v>
      </c>
      <c r="J140" s="4" t="s">
        <v>786</v>
      </c>
      <c r="K140" s="4" t="s">
        <v>562</v>
      </c>
      <c r="L140" s="4" t="s">
        <v>205</v>
      </c>
      <c r="M140" s="4" t="str">
        <f t="shared" si="3"/>
        <v>Chile</v>
      </c>
      <c r="N140" s="4" t="s">
        <v>106</v>
      </c>
      <c r="O140" s="4" t="s">
        <v>40</v>
      </c>
      <c r="P140" s="4" t="s">
        <v>50</v>
      </c>
      <c r="Q140" s="4" t="str">
        <f t="shared" si="4"/>
        <v>New</v>
      </c>
      <c r="R140" s="9">
        <v>1200.0</v>
      </c>
      <c r="S140" s="10">
        <v>46226.0</v>
      </c>
      <c r="T140" s="10">
        <v>46259.0</v>
      </c>
      <c r="U140" s="4" t="s">
        <v>107</v>
      </c>
    </row>
    <row r="141" ht="15.75" customHeight="1">
      <c r="A141" s="4" t="s">
        <v>787</v>
      </c>
      <c r="B141" s="4" t="s">
        <v>219</v>
      </c>
      <c r="C141" s="4" t="s">
        <v>788</v>
      </c>
      <c r="D141" s="4" t="str">
        <f t="shared" si="1"/>
        <v>andres.sanchez5@gmail.com</v>
      </c>
      <c r="G141" s="4" t="str">
        <f t="shared" si="2"/>
        <v>Unique</v>
      </c>
      <c r="I141" s="4" t="str">
        <f>IFERROR(__xludf.DUMMYFUNCTION("IF(C141="""",""Missing"",IF(REGEXMATCH(C141,""^[^@\s]+@[^@\s]+\.[^@\s]+$""),""Valid"",""Invalid""))"),"Valid")</f>
        <v>Valid</v>
      </c>
      <c r="J141" s="4" t="s">
        <v>789</v>
      </c>
      <c r="K141" s="4" t="s">
        <v>462</v>
      </c>
      <c r="L141" s="4" t="s">
        <v>140</v>
      </c>
      <c r="M141" s="4" t="str">
        <f t="shared" si="3"/>
        <v>Perú</v>
      </c>
      <c r="N141" s="4" t="s">
        <v>57</v>
      </c>
      <c r="O141" s="4" t="s">
        <v>49</v>
      </c>
      <c r="P141" s="4" t="s">
        <v>58</v>
      </c>
      <c r="Q141" s="4" t="str">
        <f t="shared" si="4"/>
        <v>Lost</v>
      </c>
      <c r="R141" s="9"/>
      <c r="S141" s="10">
        <v>46208.0</v>
      </c>
      <c r="T141" s="10">
        <v>46245.0</v>
      </c>
      <c r="U141" s="4" t="s">
        <v>30</v>
      </c>
    </row>
    <row r="142" ht="15.75" customHeight="1">
      <c r="A142" s="4" t="s">
        <v>790</v>
      </c>
      <c r="B142" s="4" t="s">
        <v>791</v>
      </c>
      <c r="C142" s="4" t="s">
        <v>792</v>
      </c>
      <c r="D142" s="4" t="str">
        <f t="shared" si="1"/>
        <v>carlos.morales7@company.com</v>
      </c>
      <c r="G142" s="4" t="str">
        <f t="shared" si="2"/>
        <v>Unique</v>
      </c>
      <c r="I142" s="4" t="str">
        <f>IFERROR(__xludf.DUMMYFUNCTION("IF(C142="""",""Missing"",IF(REGEXMATCH(C142,""^[^@\s]+@[^@\s]+\.[^@\s]+$""),""Valid"",""Invalid""))"),"Valid")</f>
        <v>Valid</v>
      </c>
      <c r="J142" s="4" t="s">
        <v>793</v>
      </c>
      <c r="K142" s="4" t="s">
        <v>228</v>
      </c>
      <c r="L142" s="4" t="s">
        <v>216</v>
      </c>
      <c r="M142" s="4" t="str">
        <f t="shared" si="3"/>
        <v>Salvador</v>
      </c>
      <c r="N142" s="4" t="s">
        <v>133</v>
      </c>
      <c r="O142" s="4" t="s">
        <v>40</v>
      </c>
      <c r="P142" s="4" t="s">
        <v>65</v>
      </c>
      <c r="Q142" s="4" t="str">
        <f t="shared" si="4"/>
        <v>Won</v>
      </c>
      <c r="R142" s="9"/>
      <c r="S142" s="10">
        <v>46226.0</v>
      </c>
      <c r="T142" s="10">
        <v>46238.0</v>
      </c>
      <c r="U142" s="4" t="s">
        <v>30</v>
      </c>
    </row>
    <row r="143" ht="15.75" customHeight="1">
      <c r="A143" s="4" t="s">
        <v>794</v>
      </c>
      <c r="B143" s="4" t="s">
        <v>795</v>
      </c>
      <c r="C143" s="4" t="s">
        <v>796</v>
      </c>
      <c r="D143" s="4" t="str">
        <f t="shared" si="1"/>
        <v>maria.morales26@outlook.com</v>
      </c>
      <c r="G143" s="4" t="str">
        <f t="shared" si="2"/>
        <v>Unique</v>
      </c>
      <c r="I143" s="4" t="str">
        <f>IFERROR(__xludf.DUMMYFUNCTION("IF(C143="""",""Missing"",IF(REGEXMATCH(C143,""^[^@\s]+@[^@\s]+\.[^@\s]+$""),""Valid"",""Invalid""))"),"Valid")</f>
        <v>Valid</v>
      </c>
      <c r="J143" s="4" t="s">
        <v>797</v>
      </c>
      <c r="K143" s="4" t="s">
        <v>332</v>
      </c>
      <c r="L143" s="4" t="s">
        <v>132</v>
      </c>
      <c r="M143" s="4" t="str">
        <f t="shared" si="3"/>
        <v>Argentina</v>
      </c>
      <c r="N143" s="4" t="s">
        <v>57</v>
      </c>
      <c r="O143" s="4" t="s">
        <v>217</v>
      </c>
      <c r="P143" s="4" t="s">
        <v>65</v>
      </c>
      <c r="Q143" s="4" t="str">
        <f t="shared" si="4"/>
        <v>Won</v>
      </c>
      <c r="R143" s="9">
        <v>750.0</v>
      </c>
      <c r="S143" s="10">
        <v>46198.0</v>
      </c>
      <c r="T143" s="10">
        <v>46236.0</v>
      </c>
      <c r="U143" s="4" t="s">
        <v>41</v>
      </c>
    </row>
    <row r="144" ht="15.75" customHeight="1">
      <c r="A144" s="4" t="s">
        <v>798</v>
      </c>
      <c r="B144" s="4" t="s">
        <v>799</v>
      </c>
      <c r="C144" s="4" t="s">
        <v>800</v>
      </c>
      <c r="D144" s="4" t="str">
        <f t="shared" si="1"/>
        <v>lucia.ortiz70@company.com</v>
      </c>
      <c r="G144" s="4" t="str">
        <f t="shared" si="2"/>
        <v>Unique</v>
      </c>
      <c r="I144" s="4" t="str">
        <f>IFERROR(__xludf.DUMMYFUNCTION("IF(C144="""",""Missing"",IF(REGEXMATCH(C144,""^[^@\s]+@[^@\s]+\.[^@\s]+$""),""Valid"",""Invalid""))"),"Valid")</f>
        <v>Valid</v>
      </c>
      <c r="J144" s="4" t="s">
        <v>801</v>
      </c>
      <c r="K144" s="4" t="s">
        <v>145</v>
      </c>
      <c r="L144" s="4" t="s">
        <v>88</v>
      </c>
      <c r="M144" s="4" t="str">
        <f t="shared" si="3"/>
        <v>El Salvador</v>
      </c>
      <c r="N144" s="4" t="s">
        <v>27</v>
      </c>
      <c r="O144" s="4" t="s">
        <v>49</v>
      </c>
      <c r="P144" s="4" t="s">
        <v>304</v>
      </c>
      <c r="Q144" s="4" t="str">
        <f t="shared" si="4"/>
        <v>Qualified</v>
      </c>
      <c r="R144" s="9">
        <v>4500.0</v>
      </c>
      <c r="S144" s="10">
        <v>46085.0</v>
      </c>
      <c r="T144" s="10">
        <v>46111.0</v>
      </c>
      <c r="U144" s="4" t="s">
        <v>66</v>
      </c>
    </row>
    <row r="145" ht="15.75" customHeight="1">
      <c r="A145" s="4" t="s">
        <v>802</v>
      </c>
      <c r="B145" s="4" t="s">
        <v>803</v>
      </c>
      <c r="C145" s="4" t="s">
        <v>804</v>
      </c>
      <c r="D145" s="4" t="str">
        <f t="shared" si="1"/>
        <v>fernando.flores76@company.com</v>
      </c>
      <c r="G145" s="4" t="str">
        <f t="shared" si="2"/>
        <v>Unique</v>
      </c>
      <c r="I145" s="4" t="str">
        <f>IFERROR(__xludf.DUMMYFUNCTION("IF(C145="""",""Missing"",IF(REGEXMATCH(C145,""^[^@\s]+@[^@\s]+\.[^@\s]+$""),""Valid"",""Invalid""))"),"Valid")</f>
        <v>Valid</v>
      </c>
      <c r="J145" s="4" t="s">
        <v>805</v>
      </c>
      <c r="K145" s="4" t="s">
        <v>112</v>
      </c>
      <c r="L145" s="4" t="s">
        <v>538</v>
      </c>
      <c r="M145" s="4" t="str">
        <f t="shared" si="3"/>
        <v>Spain</v>
      </c>
      <c r="N145" s="4" t="s">
        <v>133</v>
      </c>
      <c r="O145" s="4" t="s">
        <v>76</v>
      </c>
      <c r="P145" s="4" t="s">
        <v>65</v>
      </c>
      <c r="Q145" s="4" t="str">
        <f t="shared" si="4"/>
        <v>Won</v>
      </c>
      <c r="R145" s="9">
        <v>350.0</v>
      </c>
      <c r="S145" s="10">
        <v>46089.0</v>
      </c>
      <c r="T145" s="10">
        <v>46098.0</v>
      </c>
      <c r="U145" s="4" t="s">
        <v>41</v>
      </c>
    </row>
    <row r="146" ht="15.75" customHeight="1">
      <c r="A146" s="4" t="s">
        <v>806</v>
      </c>
      <c r="B146" s="4" t="s">
        <v>807</v>
      </c>
      <c r="C146" s="4" t="s">
        <v>808</v>
      </c>
      <c r="D146" s="4" t="str">
        <f t="shared" si="1"/>
        <v>manuel.rodriguez23@gmail</v>
      </c>
      <c r="E146" s="11" t="s">
        <v>662</v>
      </c>
      <c r="F146" s="11"/>
      <c r="G146" s="4" t="str">
        <f t="shared" si="2"/>
        <v>Unique</v>
      </c>
      <c r="I146" s="4" t="str">
        <f>IFERROR(__xludf.DUMMYFUNCTION("IF(C146="""",""Missing"",IF(REGEXMATCH(C146,""^[^@\s]+@[^@\s]+\.[^@\s]+$""),""Valid"",""Invalid""))"),"Invalid")</f>
        <v>Invalid</v>
      </c>
      <c r="J146" s="4" t="s">
        <v>809</v>
      </c>
      <c r="K146" s="4" t="s">
        <v>215</v>
      </c>
      <c r="L146" s="4" t="s">
        <v>88</v>
      </c>
      <c r="M146" s="4" t="str">
        <f t="shared" si="3"/>
        <v>El Salvador</v>
      </c>
      <c r="N146" s="4" t="s">
        <v>133</v>
      </c>
      <c r="O146" s="4" t="s">
        <v>49</v>
      </c>
      <c r="Q146" s="4" t="str">
        <f t="shared" si="4"/>
        <v/>
      </c>
      <c r="R146" s="9">
        <v>2500.0</v>
      </c>
      <c r="S146" s="10">
        <v>46228.0</v>
      </c>
      <c r="T146" s="10">
        <v>46239.0</v>
      </c>
      <c r="U146" s="4" t="s">
        <v>41</v>
      </c>
    </row>
    <row r="147" ht="15.75" customHeight="1">
      <c r="A147" s="4" t="s">
        <v>810</v>
      </c>
      <c r="B147" s="4" t="s">
        <v>811</v>
      </c>
      <c r="D147" s="4" t="str">
        <f t="shared" si="1"/>
        <v/>
      </c>
      <c r="G147" s="4" t="str">
        <f t="shared" si="2"/>
        <v>Missing Email</v>
      </c>
      <c r="I147" s="4" t="str">
        <f>IFERROR(__xludf.DUMMYFUNCTION("IF(C147="""",""Missing"",IF(REGEXMATCH(C147,""^[^@\s]+@[^@\s]+\.[^@\s]+$""),""Valid"",""Invalid""))"),"Missing")</f>
        <v>Missing</v>
      </c>
      <c r="J147" s="4" t="s">
        <v>812</v>
      </c>
      <c r="K147" s="4" t="s">
        <v>173</v>
      </c>
      <c r="L147" s="4" t="s">
        <v>664</v>
      </c>
      <c r="M147" s="4" t="str">
        <f t="shared" si="3"/>
        <v>Spain</v>
      </c>
      <c r="N147" s="4" t="s">
        <v>27</v>
      </c>
      <c r="O147" s="4" t="s">
        <v>49</v>
      </c>
      <c r="P147" s="4" t="s">
        <v>50</v>
      </c>
      <c r="Q147" s="4" t="str">
        <f t="shared" si="4"/>
        <v>New</v>
      </c>
      <c r="R147" s="9">
        <v>2000.0</v>
      </c>
      <c r="S147" s="10">
        <v>46227.0</v>
      </c>
      <c r="T147" s="10">
        <v>46240.0</v>
      </c>
      <c r="U147" s="4" t="s">
        <v>30</v>
      </c>
    </row>
    <row r="148" ht="15.75" customHeight="1">
      <c r="A148" s="4" t="s">
        <v>813</v>
      </c>
      <c r="B148" s="4" t="s">
        <v>667</v>
      </c>
      <c r="C148" s="4" t="s">
        <v>814</v>
      </c>
      <c r="D148" s="4" t="str">
        <f t="shared" si="1"/>
        <v>paula.lopez87@outlook.com</v>
      </c>
      <c r="G148" s="4" t="str">
        <f t="shared" si="2"/>
        <v>Unique</v>
      </c>
      <c r="I148" s="4" t="str">
        <f>IFERROR(__xludf.DUMMYFUNCTION("IF(C148="""",""Missing"",IF(REGEXMATCH(C148,""^[^@\s]+@[^@\s]+\.[^@\s]+$""),""Valid"",""Invalid""))"),"Valid")</f>
        <v>Valid</v>
      </c>
      <c r="J148" s="4" t="s">
        <v>815</v>
      </c>
      <c r="K148" s="4" t="s">
        <v>816</v>
      </c>
      <c r="L148" s="4" t="s">
        <v>132</v>
      </c>
      <c r="M148" s="4" t="str">
        <f t="shared" si="3"/>
        <v>Argentina</v>
      </c>
      <c r="N148" s="4" t="s">
        <v>57</v>
      </c>
      <c r="O148" s="4" t="s">
        <v>28</v>
      </c>
      <c r="P148" s="4" t="s">
        <v>65</v>
      </c>
      <c r="Q148" s="4" t="str">
        <f t="shared" si="4"/>
        <v>Won</v>
      </c>
      <c r="R148" s="9">
        <v>4500.0</v>
      </c>
      <c r="S148" s="10">
        <v>46116.0</v>
      </c>
      <c r="T148" s="10">
        <v>46135.0</v>
      </c>
      <c r="U148" s="4" t="s">
        <v>66</v>
      </c>
    </row>
    <row r="149" ht="15.75" customHeight="1">
      <c r="A149" s="4" t="s">
        <v>817</v>
      </c>
      <c r="B149" s="4" t="s">
        <v>818</v>
      </c>
      <c r="C149" s="4" t="s">
        <v>819</v>
      </c>
      <c r="D149" s="4" t="str">
        <f t="shared" si="1"/>
        <v>ricardo.torres8@gmail.com</v>
      </c>
      <c r="G149" s="4" t="str">
        <f t="shared" si="2"/>
        <v>Unique</v>
      </c>
      <c r="I149" s="4" t="str">
        <f>IFERROR(__xludf.DUMMYFUNCTION("IF(C149="""",""Missing"",IF(REGEXMATCH(C149,""^[^@\s]+@[^@\s]+\.[^@\s]+$""),""Valid"",""Invalid""))"),"Valid")</f>
        <v>Valid</v>
      </c>
      <c r="J149" s="4" t="s">
        <v>820</v>
      </c>
      <c r="K149" s="4" t="s">
        <v>173</v>
      </c>
      <c r="L149" s="4" t="s">
        <v>151</v>
      </c>
      <c r="M149" s="4" t="str">
        <f t="shared" si="3"/>
        <v>El Salvador</v>
      </c>
      <c r="N149" s="4" t="s">
        <v>27</v>
      </c>
      <c r="O149" s="4" t="s">
        <v>28</v>
      </c>
      <c r="P149" s="4" t="s">
        <v>77</v>
      </c>
      <c r="Q149" s="4" t="str">
        <f t="shared" si="4"/>
        <v>Proposal Sent</v>
      </c>
      <c r="R149" s="9">
        <v>2500.0</v>
      </c>
      <c r="S149" s="10">
        <v>46046.0</v>
      </c>
      <c r="T149" s="10">
        <v>46051.0</v>
      </c>
      <c r="U149" s="4" t="s">
        <v>41</v>
      </c>
    </row>
    <row r="150" ht="15.75" customHeight="1">
      <c r="A150" s="4" t="s">
        <v>821</v>
      </c>
      <c r="B150" s="4" t="s">
        <v>822</v>
      </c>
      <c r="C150" s="4" t="s">
        <v>823</v>
      </c>
      <c r="D150" s="4" t="str">
        <f t="shared" si="1"/>
        <v>lucia.flores76@company.com</v>
      </c>
      <c r="G150" s="4" t="str">
        <f t="shared" si="2"/>
        <v>Unique</v>
      </c>
      <c r="I150" s="4" t="str">
        <f>IFERROR(__xludf.DUMMYFUNCTION("IF(C150="""",""Missing"",IF(REGEXMATCH(C150,""^[^@\s]+@[^@\s]+\.[^@\s]+$""),""Valid"",""Invalid""))"),"Valid")</f>
        <v>Valid</v>
      </c>
      <c r="J150" s="4" t="s">
        <v>824</v>
      </c>
      <c r="K150" s="4" t="s">
        <v>509</v>
      </c>
      <c r="L150" s="4" t="s">
        <v>175</v>
      </c>
      <c r="M150" s="4" t="str">
        <f t="shared" si="3"/>
        <v>Peru</v>
      </c>
      <c r="N150" s="4" t="s">
        <v>27</v>
      </c>
      <c r="O150" s="4" t="s">
        <v>217</v>
      </c>
      <c r="P150" s="4" t="s">
        <v>134</v>
      </c>
      <c r="Q150" s="4" t="str">
        <f t="shared" si="4"/>
        <v>Qualified</v>
      </c>
      <c r="R150" s="9">
        <v>900.0</v>
      </c>
      <c r="S150" s="10">
        <v>46123.0</v>
      </c>
      <c r="T150" s="10">
        <v>46126.0</v>
      </c>
      <c r="U150" s="4" t="s">
        <v>41</v>
      </c>
    </row>
    <row r="151" ht="15.75" customHeight="1">
      <c r="A151" s="4" t="s">
        <v>825</v>
      </c>
      <c r="B151" s="4" t="s">
        <v>441</v>
      </c>
      <c r="C151" s="4" t="s">
        <v>826</v>
      </c>
      <c r="D151" s="4" t="str">
        <f t="shared" si="1"/>
        <v>fernando.ramirez1@gmail.com</v>
      </c>
      <c r="G151" s="4" t="str">
        <f t="shared" si="2"/>
        <v>Unique</v>
      </c>
      <c r="I151" s="4" t="str">
        <f>IFERROR(__xludf.DUMMYFUNCTION("IF(C151="""",""Missing"",IF(REGEXMATCH(C151,""^[^@\s]+@[^@\s]+\.[^@\s]+$""),""Valid"",""Invalid""))"),"Valid")</f>
        <v>Valid</v>
      </c>
      <c r="J151" s="4" t="s">
        <v>827</v>
      </c>
      <c r="L151" s="4" t="s">
        <v>126</v>
      </c>
      <c r="M151" s="4" t="str">
        <f t="shared" si="3"/>
        <v>Peru</v>
      </c>
      <c r="N151" s="4" t="s">
        <v>39</v>
      </c>
      <c r="O151" s="4" t="s">
        <v>28</v>
      </c>
      <c r="P151" s="4" t="s">
        <v>65</v>
      </c>
      <c r="Q151" s="4" t="str">
        <f t="shared" si="4"/>
        <v>Won</v>
      </c>
      <c r="R151" s="9">
        <v>350.0</v>
      </c>
      <c r="S151" s="10">
        <v>46212.0</v>
      </c>
      <c r="T151" s="10">
        <v>46252.0</v>
      </c>
      <c r="U151" s="4" t="s">
        <v>95</v>
      </c>
    </row>
    <row r="152" ht="15.75" customHeight="1">
      <c r="A152" s="4" t="s">
        <v>828</v>
      </c>
      <c r="B152" s="4" t="s">
        <v>829</v>
      </c>
      <c r="C152" s="4" t="s">
        <v>830</v>
      </c>
      <c r="D152" s="4" t="str">
        <f t="shared" si="1"/>
        <v>gabriela.ramirez34@outlook.com</v>
      </c>
      <c r="G152" s="4" t="str">
        <f t="shared" si="2"/>
        <v>Unique</v>
      </c>
      <c r="I152" s="4" t="str">
        <f>IFERROR(__xludf.DUMMYFUNCTION("IF(C152="""",""Missing"",IF(REGEXMATCH(C152,""^[^@\s]+@[^@\s]+\.[^@\s]+$""),""Valid"",""Invalid""))"),"Valid")</f>
        <v>Valid</v>
      </c>
      <c r="J152" s="4" t="s">
        <v>831</v>
      </c>
      <c r="K152" s="4" t="s">
        <v>832</v>
      </c>
      <c r="L152" s="4" t="s">
        <v>168</v>
      </c>
      <c r="M152" s="4" t="str">
        <f t="shared" si="3"/>
        <v>Argentina</v>
      </c>
      <c r="N152" s="4" t="s">
        <v>106</v>
      </c>
      <c r="O152" s="4" t="s">
        <v>76</v>
      </c>
      <c r="P152" s="4" t="s">
        <v>304</v>
      </c>
      <c r="Q152" s="4" t="str">
        <f t="shared" si="4"/>
        <v>Qualified</v>
      </c>
      <c r="R152" s="9">
        <v>500.0</v>
      </c>
      <c r="S152" s="10">
        <v>46028.0</v>
      </c>
      <c r="T152" s="10">
        <v>46040.0</v>
      </c>
      <c r="U152" s="4" t="s">
        <v>107</v>
      </c>
    </row>
    <row r="153" ht="15.75" customHeight="1">
      <c r="A153" s="4" t="s">
        <v>833</v>
      </c>
      <c r="B153" s="4" t="s">
        <v>834</v>
      </c>
      <c r="C153" s="4" t="s">
        <v>835</v>
      </c>
      <c r="D153" s="4" t="str">
        <f t="shared" si="1"/>
        <v>jose.castro34@gmail.com</v>
      </c>
      <c r="G153" s="4" t="str">
        <f t="shared" si="2"/>
        <v>Unique</v>
      </c>
      <c r="I153" s="4" t="str">
        <f>IFERROR(__xludf.DUMMYFUNCTION("IF(C153="""",""Missing"",IF(REGEXMATCH(C153,""^[^@\s]+@[^@\s]+\.[^@\s]+$""),""Valid"",""Invalid""))"),"Valid")</f>
        <v>Valid</v>
      </c>
      <c r="J153" s="4" t="s">
        <v>836</v>
      </c>
      <c r="K153" s="4" t="s">
        <v>190</v>
      </c>
      <c r="L153" s="4" t="s">
        <v>283</v>
      </c>
      <c r="M153" s="4" t="str">
        <f t="shared" si="3"/>
        <v>Colombia</v>
      </c>
      <c r="N153" s="4" t="s">
        <v>106</v>
      </c>
      <c r="O153" s="4" t="s">
        <v>217</v>
      </c>
      <c r="P153" s="4" t="s">
        <v>77</v>
      </c>
      <c r="Q153" s="4" t="str">
        <f t="shared" si="4"/>
        <v>Proposal Sent</v>
      </c>
      <c r="R153" s="9">
        <v>1500.0</v>
      </c>
      <c r="S153" s="10">
        <v>46104.0</v>
      </c>
      <c r="T153" s="10">
        <v>46135.0</v>
      </c>
      <c r="U153" s="4" t="s">
        <v>95</v>
      </c>
    </row>
    <row r="154" ht="15.75" customHeight="1">
      <c r="A154" s="4" t="s">
        <v>837</v>
      </c>
      <c r="B154" s="4" t="s">
        <v>737</v>
      </c>
      <c r="C154" s="4" t="s">
        <v>838</v>
      </c>
      <c r="D154" s="4" t="str">
        <f t="shared" si="1"/>
        <v>paula.flores40@gmail.com</v>
      </c>
      <c r="G154" s="4" t="str">
        <f t="shared" si="2"/>
        <v>Unique</v>
      </c>
      <c r="I154" s="4" t="str">
        <f>IFERROR(__xludf.DUMMYFUNCTION("IF(C154="""",""Missing"",IF(REGEXMATCH(C154,""^[^@\s]+@[^@\s]+\.[^@\s]+$""),""Valid"",""Invalid""))"),"Valid")</f>
        <v>Valid</v>
      </c>
      <c r="J154" s="4" t="s">
        <v>839</v>
      </c>
      <c r="K154" s="4" t="s">
        <v>840</v>
      </c>
      <c r="L154" s="4" t="s">
        <v>175</v>
      </c>
      <c r="M154" s="4" t="str">
        <f t="shared" si="3"/>
        <v>Peru</v>
      </c>
      <c r="N154" s="4" t="s">
        <v>106</v>
      </c>
      <c r="O154" s="4" t="s">
        <v>217</v>
      </c>
      <c r="P154" s="4" t="s">
        <v>58</v>
      </c>
      <c r="Q154" s="4" t="str">
        <f t="shared" si="4"/>
        <v>Lost</v>
      </c>
      <c r="R154" s="9">
        <v>500.0</v>
      </c>
      <c r="S154" s="10">
        <v>46034.0</v>
      </c>
      <c r="T154" s="10">
        <v>46042.0</v>
      </c>
      <c r="U154" s="4" t="s">
        <v>66</v>
      </c>
    </row>
    <row r="155" ht="15.75" customHeight="1">
      <c r="A155" s="4" t="s">
        <v>841</v>
      </c>
      <c r="B155" s="4" t="s">
        <v>842</v>
      </c>
      <c r="C155" s="4" t="s">
        <v>843</v>
      </c>
      <c r="D155" s="4" t="str">
        <f t="shared" si="1"/>
        <v>andres.romero91@gmail.com</v>
      </c>
      <c r="G155" s="4" t="str">
        <f t="shared" si="2"/>
        <v>Unique</v>
      </c>
      <c r="I155" s="4" t="str">
        <f>IFERROR(__xludf.DUMMYFUNCTION("IF(C155="""",""Missing"",IF(REGEXMATCH(C155,""^[^@\s]+@[^@\s]+\.[^@\s]+$""),""Valid"",""Invalid""))"),"Valid")</f>
        <v>Valid</v>
      </c>
      <c r="J155" s="4" t="s">
        <v>844</v>
      </c>
      <c r="K155" s="4" t="s">
        <v>259</v>
      </c>
      <c r="L155" s="4" t="s">
        <v>174</v>
      </c>
      <c r="M155" s="4" t="str">
        <f t="shared" si="3"/>
        <v>Colombia</v>
      </c>
      <c r="N155" s="4" t="s">
        <v>106</v>
      </c>
      <c r="O155" s="4" t="s">
        <v>40</v>
      </c>
      <c r="P155" s="4" t="s">
        <v>50</v>
      </c>
      <c r="Q155" s="4" t="str">
        <f t="shared" si="4"/>
        <v>New</v>
      </c>
      <c r="R155" s="9">
        <v>1500.0</v>
      </c>
      <c r="S155" s="10">
        <v>46068.0</v>
      </c>
      <c r="T155" s="10">
        <v>46087.0</v>
      </c>
    </row>
    <row r="156" ht="15.75" customHeight="1">
      <c r="A156" s="4" t="s">
        <v>845</v>
      </c>
      <c r="B156" s="4" t="s">
        <v>846</v>
      </c>
      <c r="C156" s="4" t="s">
        <v>847</v>
      </c>
      <c r="D156" s="4" t="str">
        <f t="shared" si="1"/>
        <v>luis.flores66@gmail.com</v>
      </c>
      <c r="G156" s="4" t="str">
        <f t="shared" si="2"/>
        <v>Unique</v>
      </c>
      <c r="I156" s="4" t="str">
        <f>IFERROR(__xludf.DUMMYFUNCTION("IF(C156="""",""Missing"",IF(REGEXMATCH(C156,""^[^@\s]+@[^@\s]+\.[^@\s]+$""),""Valid"",""Invalid""))"),"Valid")</f>
        <v>Valid</v>
      </c>
      <c r="J156" s="4" t="s">
        <v>848</v>
      </c>
      <c r="K156" s="4" t="s">
        <v>25</v>
      </c>
      <c r="L156" s="4" t="s">
        <v>82</v>
      </c>
      <c r="M156" s="4" t="str">
        <f t="shared" si="3"/>
        <v>Spain</v>
      </c>
      <c r="N156" s="4" t="s">
        <v>133</v>
      </c>
      <c r="O156" s="4" t="s">
        <v>49</v>
      </c>
      <c r="P156" s="4" t="s">
        <v>77</v>
      </c>
      <c r="Q156" s="4" t="str">
        <f t="shared" si="4"/>
        <v>Proposal Sent</v>
      </c>
      <c r="R156" s="9">
        <v>750.0</v>
      </c>
      <c r="S156" s="10">
        <v>46137.0</v>
      </c>
      <c r="T156" s="10">
        <v>46153.0</v>
      </c>
      <c r="U156" s="4" t="s">
        <v>107</v>
      </c>
    </row>
    <row r="157" ht="15.75" customHeight="1">
      <c r="A157" s="4" t="s">
        <v>849</v>
      </c>
      <c r="B157" s="4" t="s">
        <v>517</v>
      </c>
      <c r="C157" s="4" t="s">
        <v>850</v>
      </c>
      <c r="D157" s="4" t="str">
        <f t="shared" si="1"/>
        <v>laura.rivera43@company.com</v>
      </c>
      <c r="G157" s="4" t="str">
        <f t="shared" si="2"/>
        <v>Unique</v>
      </c>
      <c r="I157" s="4" t="str">
        <f>IFERROR(__xludf.DUMMYFUNCTION("IF(C157="""",""Missing"",IF(REGEXMATCH(C157,""^[^@\s]+@[^@\s]+\.[^@\s]+$""),""Valid"",""Invalid""))"),"Valid")</f>
        <v>Valid</v>
      </c>
      <c r="J157" s="4" t="s">
        <v>851</v>
      </c>
      <c r="K157" s="4" t="s">
        <v>852</v>
      </c>
      <c r="L157" s="4" t="s">
        <v>168</v>
      </c>
      <c r="M157" s="4" t="str">
        <f t="shared" si="3"/>
        <v>Argentina</v>
      </c>
      <c r="N157" s="4" t="s">
        <v>27</v>
      </c>
      <c r="O157" s="4" t="s">
        <v>28</v>
      </c>
      <c r="P157" s="4" t="s">
        <v>134</v>
      </c>
      <c r="Q157" s="4" t="str">
        <f t="shared" si="4"/>
        <v>Qualified</v>
      </c>
      <c r="R157" s="9">
        <v>2500.0</v>
      </c>
      <c r="S157" s="10">
        <v>46189.0</v>
      </c>
      <c r="T157" s="10">
        <v>46223.0</v>
      </c>
      <c r="U157" s="4" t="s">
        <v>95</v>
      </c>
    </row>
    <row r="158" ht="15.75" customHeight="1">
      <c r="A158" s="4" t="s">
        <v>853</v>
      </c>
      <c r="B158" s="4" t="s">
        <v>854</v>
      </c>
      <c r="C158" s="4" t="s">
        <v>855</v>
      </c>
      <c r="D158" s="4" t="str">
        <f t="shared" si="1"/>
        <v>david.romero42@gmail.com</v>
      </c>
      <c r="G158" s="4" t="str">
        <f t="shared" si="2"/>
        <v>Unique</v>
      </c>
      <c r="I158" s="4" t="str">
        <f>IFERROR(__xludf.DUMMYFUNCTION("IF(C158="""",""Missing"",IF(REGEXMATCH(C158,""^[^@\s]+@[^@\s]+\.[^@\s]+$""),""Valid"",""Invalid""))"),"Valid")</f>
        <v>Valid</v>
      </c>
      <c r="J158" s="4" t="s">
        <v>856</v>
      </c>
      <c r="K158" s="4" t="s">
        <v>857</v>
      </c>
      <c r="L158" s="4" t="s">
        <v>132</v>
      </c>
      <c r="M158" s="4" t="str">
        <f t="shared" si="3"/>
        <v>Argentina</v>
      </c>
      <c r="N158" s="4" t="s">
        <v>39</v>
      </c>
      <c r="O158" s="4" t="s">
        <v>28</v>
      </c>
      <c r="P158" s="4" t="s">
        <v>134</v>
      </c>
      <c r="Q158" s="4" t="str">
        <f t="shared" si="4"/>
        <v>Qualified</v>
      </c>
      <c r="R158" s="9">
        <v>900.0</v>
      </c>
      <c r="S158" s="10">
        <v>46040.0</v>
      </c>
      <c r="T158" s="10">
        <v>46078.0</v>
      </c>
      <c r="U158" s="4" t="s">
        <v>30</v>
      </c>
    </row>
    <row r="159" ht="15.75" customHeight="1">
      <c r="A159" s="4" t="s">
        <v>858</v>
      </c>
      <c r="B159" s="4" t="s">
        <v>859</v>
      </c>
      <c r="C159" s="4" t="s">
        <v>860</v>
      </c>
      <c r="D159" s="4" t="str">
        <f t="shared" si="1"/>
        <v>manuel.gomez96@mail.com</v>
      </c>
      <c r="G159" s="4" t="str">
        <f t="shared" si="2"/>
        <v>Unique</v>
      </c>
      <c r="I159" s="4" t="str">
        <f>IFERROR(__xludf.DUMMYFUNCTION("IF(C159="""",""Missing"",IF(REGEXMATCH(C159,""^[^@\s]+@[^@\s]+\.[^@\s]+$""),""Valid"",""Invalid""))"),"Valid")</f>
        <v>Valid</v>
      </c>
      <c r="J159" s="4" t="s">
        <v>861</v>
      </c>
      <c r="K159" s="4" t="s">
        <v>131</v>
      </c>
      <c r="L159" s="4" t="s">
        <v>174</v>
      </c>
      <c r="M159" s="4" t="str">
        <f t="shared" si="3"/>
        <v>Colombia</v>
      </c>
      <c r="N159" s="4" t="s">
        <v>106</v>
      </c>
      <c r="O159" s="4" t="s">
        <v>49</v>
      </c>
      <c r="P159" s="4" t="s">
        <v>58</v>
      </c>
      <c r="Q159" s="4" t="str">
        <f t="shared" si="4"/>
        <v>Lost</v>
      </c>
      <c r="R159" s="9">
        <v>4500.0</v>
      </c>
      <c r="S159" s="10">
        <v>46260.0</v>
      </c>
      <c r="T159" s="10">
        <v>46272.0</v>
      </c>
      <c r="U159" s="4" t="s">
        <v>30</v>
      </c>
    </row>
    <row r="160" ht="15.75" customHeight="1">
      <c r="A160" s="4" t="s">
        <v>862</v>
      </c>
      <c r="B160" s="4" t="s">
        <v>863</v>
      </c>
      <c r="C160" s="4" t="s">
        <v>864</v>
      </c>
      <c r="D160" s="4" t="str">
        <f t="shared" si="1"/>
        <v>laura.torres19@gmail.com</v>
      </c>
      <c r="G160" s="4" t="str">
        <f t="shared" si="2"/>
        <v>Unique</v>
      </c>
      <c r="I160" s="4" t="str">
        <f>IFERROR(__xludf.DUMMYFUNCTION("IF(C160="""",""Missing"",IF(REGEXMATCH(C160,""^[^@\s]+@[^@\s]+\.[^@\s]+$""),""Valid"",""Invalid""))"),"Valid")</f>
        <v>Valid</v>
      </c>
      <c r="K160" s="4" t="s">
        <v>865</v>
      </c>
      <c r="L160" s="4" t="s">
        <v>168</v>
      </c>
      <c r="M160" s="4" t="str">
        <f t="shared" si="3"/>
        <v>Argentina</v>
      </c>
      <c r="N160" s="4" t="s">
        <v>106</v>
      </c>
      <c r="O160" s="4" t="s">
        <v>49</v>
      </c>
      <c r="P160" s="4" t="s">
        <v>134</v>
      </c>
      <c r="Q160" s="4" t="str">
        <f t="shared" si="4"/>
        <v>Qualified</v>
      </c>
      <c r="R160" s="9"/>
      <c r="S160" s="10">
        <v>46173.0</v>
      </c>
      <c r="T160" s="10">
        <v>46215.0</v>
      </c>
      <c r="U160" s="4" t="s">
        <v>30</v>
      </c>
    </row>
    <row r="161" ht="15.75" customHeight="1">
      <c r="A161" s="4" t="s">
        <v>866</v>
      </c>
      <c r="B161" s="4" t="s">
        <v>867</v>
      </c>
      <c r="C161" s="4" t="s">
        <v>868</v>
      </c>
      <c r="D161" s="4" t="str">
        <f t="shared" si="1"/>
        <v>daniel.ramirez25@outlook.com</v>
      </c>
      <c r="G161" s="4" t="str">
        <f t="shared" si="2"/>
        <v>Unique</v>
      </c>
      <c r="I161" s="4" t="str">
        <f>IFERROR(__xludf.DUMMYFUNCTION("IF(C161="""",""Missing"",IF(REGEXMATCH(C161,""^[^@\s]+@[^@\s]+\.[^@\s]+$""),""Valid"",""Invalid""))"),"Valid")</f>
        <v>Valid</v>
      </c>
      <c r="J161" s="4" t="s">
        <v>869</v>
      </c>
      <c r="K161" s="4" t="s">
        <v>852</v>
      </c>
      <c r="L161" s="4" t="s">
        <v>220</v>
      </c>
      <c r="M161" s="4" t="str">
        <f t="shared" si="3"/>
        <v>Spain</v>
      </c>
      <c r="N161" s="4" t="s">
        <v>27</v>
      </c>
      <c r="O161" s="4" t="s">
        <v>217</v>
      </c>
      <c r="P161" s="4" t="s">
        <v>58</v>
      </c>
      <c r="Q161" s="4" t="str">
        <f t="shared" si="4"/>
        <v>Lost</v>
      </c>
      <c r="R161" s="9">
        <v>2000.0</v>
      </c>
      <c r="S161" s="10">
        <v>46114.0</v>
      </c>
      <c r="T161" s="10">
        <v>46148.0</v>
      </c>
    </row>
    <row r="162" ht="15.75" customHeight="1">
      <c r="A162" s="4" t="s">
        <v>870</v>
      </c>
      <c r="B162" s="4" t="s">
        <v>871</v>
      </c>
      <c r="C162" s="4" t="s">
        <v>872</v>
      </c>
      <c r="D162" s="4" t="str">
        <f t="shared" si="1"/>
        <v>manuel.martinez2@gmail.com</v>
      </c>
      <c r="G162" s="4" t="str">
        <f t="shared" si="2"/>
        <v>Unique</v>
      </c>
      <c r="I162" s="4" t="str">
        <f>IFERROR(__xludf.DUMMYFUNCTION("IF(C162="""",""Missing"",IF(REGEXMATCH(C162,""^[^@\s]+@[^@\s]+\.[^@\s]+$""),""Valid"",""Invalid""))"),"Valid")</f>
        <v>Valid</v>
      </c>
      <c r="J162" s="4" t="s">
        <v>873</v>
      </c>
      <c r="K162" s="4" t="s">
        <v>419</v>
      </c>
      <c r="L162" s="4" t="s">
        <v>64</v>
      </c>
      <c r="M162" s="4" t="str">
        <f t="shared" si="3"/>
        <v>Peru</v>
      </c>
      <c r="N162" s="4" t="s">
        <v>48</v>
      </c>
      <c r="O162" s="4" t="s">
        <v>217</v>
      </c>
      <c r="P162" s="4" t="s">
        <v>77</v>
      </c>
      <c r="Q162" s="4" t="str">
        <f t="shared" si="4"/>
        <v>Proposal Sent</v>
      </c>
      <c r="R162" s="9">
        <v>350.0</v>
      </c>
      <c r="S162" s="10">
        <v>46137.0</v>
      </c>
      <c r="T162" s="10">
        <v>46158.0</v>
      </c>
      <c r="U162" s="4" t="s">
        <v>66</v>
      </c>
    </row>
    <row r="163" ht="15.75" customHeight="1">
      <c r="A163" s="4" t="s">
        <v>874</v>
      </c>
      <c r="B163" s="4" t="s">
        <v>875</v>
      </c>
      <c r="C163" s="4" t="s">
        <v>876</v>
      </c>
      <c r="D163" s="4" t="str">
        <f t="shared" si="1"/>
        <v>miguel.sanchez3 @ mail.com</v>
      </c>
      <c r="E163" s="11" t="s">
        <v>188</v>
      </c>
      <c r="F163" s="11" t="s">
        <v>877</v>
      </c>
      <c r="G163" s="4" t="str">
        <f t="shared" si="2"/>
        <v>Unique</v>
      </c>
      <c r="I163" s="4" t="str">
        <f>IFERROR(__xludf.DUMMYFUNCTION("IF(C163="""",""Missing"",IF(REGEXMATCH(C163,""^[^@\s]+@[^@\s]+\.[^@\s]+$""),""Valid"",""Invalid""))"),"Invalid")</f>
        <v>Invalid</v>
      </c>
      <c r="J163" s="4" t="s">
        <v>878</v>
      </c>
      <c r="K163" s="4" t="s">
        <v>879</v>
      </c>
      <c r="L163" s="4" t="s">
        <v>211</v>
      </c>
      <c r="M163" s="4" t="str">
        <f t="shared" si="3"/>
        <v>Mexico</v>
      </c>
      <c r="N163" s="4" t="s">
        <v>48</v>
      </c>
      <c r="O163" s="4" t="s">
        <v>40</v>
      </c>
      <c r="P163" s="4" t="s">
        <v>50</v>
      </c>
      <c r="Q163" s="4" t="str">
        <f t="shared" si="4"/>
        <v>New</v>
      </c>
      <c r="R163" s="9">
        <v>1200.0</v>
      </c>
      <c r="S163" s="10">
        <v>46047.0</v>
      </c>
      <c r="T163" s="10">
        <v>46067.0</v>
      </c>
      <c r="U163" s="4" t="s">
        <v>107</v>
      </c>
    </row>
    <row r="164" ht="15.75" customHeight="1">
      <c r="A164" s="4" t="s">
        <v>880</v>
      </c>
      <c r="B164" s="4" t="s">
        <v>881</v>
      </c>
      <c r="C164" s="4" t="s">
        <v>882</v>
      </c>
      <c r="D164" s="4" t="str">
        <f t="shared" si="1"/>
        <v>raul.perez31@outlook.com</v>
      </c>
      <c r="G164" s="4" t="str">
        <f t="shared" si="2"/>
        <v>Unique</v>
      </c>
      <c r="I164" s="4" t="str">
        <f>IFERROR(__xludf.DUMMYFUNCTION("IF(C164="""",""Missing"",IF(REGEXMATCH(C164,""^[^@\s]+@[^@\s]+\.[^@\s]+$""),""Valid"",""Invalid""))"),"Valid")</f>
        <v>Valid</v>
      </c>
      <c r="J164" s="4" t="s">
        <v>883</v>
      </c>
      <c r="K164" s="4" t="s">
        <v>576</v>
      </c>
      <c r="L164" s="4" t="s">
        <v>211</v>
      </c>
      <c r="M164" s="4" t="str">
        <f t="shared" si="3"/>
        <v>Mexico</v>
      </c>
      <c r="N164" s="4" t="s">
        <v>57</v>
      </c>
      <c r="O164" s="4" t="s">
        <v>28</v>
      </c>
      <c r="P164" s="4" t="s">
        <v>609</v>
      </c>
      <c r="Q164" s="4" t="str">
        <f t="shared" si="4"/>
        <v>Proposal</v>
      </c>
      <c r="R164" s="9">
        <v>350.0</v>
      </c>
      <c r="S164" s="10">
        <v>46043.0</v>
      </c>
      <c r="T164" s="10">
        <v>46081.0</v>
      </c>
      <c r="U164" s="4" t="s">
        <v>41</v>
      </c>
    </row>
    <row r="165" ht="15.75" customHeight="1">
      <c r="A165" s="4" t="s">
        <v>884</v>
      </c>
      <c r="B165" s="4" t="s">
        <v>885</v>
      </c>
      <c r="C165" s="4" t="s">
        <v>886</v>
      </c>
      <c r="D165" s="4" t="str">
        <f t="shared" si="1"/>
        <v>lucia.romero64@mail.com</v>
      </c>
      <c r="G165" s="4" t="str">
        <f t="shared" si="2"/>
        <v>Unique</v>
      </c>
      <c r="I165" s="4" t="str">
        <f>IFERROR(__xludf.DUMMYFUNCTION("IF(C165="""",""Missing"",IF(REGEXMATCH(C165,""^[^@\s]+@[^@\s]+\.[^@\s]+$""),""Valid"",""Invalid""))"),"Valid")</f>
        <v>Valid</v>
      </c>
      <c r="J165" s="4" t="s">
        <v>887</v>
      </c>
      <c r="K165" s="4" t="s">
        <v>554</v>
      </c>
      <c r="L165" s="4" t="s">
        <v>26</v>
      </c>
      <c r="M165" s="4" t="str">
        <f t="shared" si="3"/>
        <v>Chile</v>
      </c>
      <c r="N165" s="4" t="s">
        <v>39</v>
      </c>
      <c r="O165" s="4" t="s">
        <v>76</v>
      </c>
      <c r="P165" s="4" t="s">
        <v>58</v>
      </c>
      <c r="Q165" s="4" t="str">
        <f t="shared" si="4"/>
        <v>Lost</v>
      </c>
      <c r="R165" s="9"/>
      <c r="S165" s="10">
        <v>46219.0</v>
      </c>
      <c r="T165" s="10">
        <v>46261.0</v>
      </c>
      <c r="U165" s="4" t="s">
        <v>41</v>
      </c>
    </row>
    <row r="166" ht="15.75" customHeight="1">
      <c r="A166" s="4" t="s">
        <v>888</v>
      </c>
      <c r="B166" s="4" t="s">
        <v>889</v>
      </c>
      <c r="C166" s="4" t="s">
        <v>890</v>
      </c>
      <c r="D166" s="4" t="str">
        <f t="shared" si="1"/>
        <v>alejandro.gonzalez30@mail.com</v>
      </c>
      <c r="G166" s="4" t="str">
        <f t="shared" si="2"/>
        <v>Unique</v>
      </c>
      <c r="I166" s="4" t="str">
        <f>IFERROR(__xludf.DUMMYFUNCTION("IF(C166="""",""Missing"",IF(REGEXMATCH(C166,""^[^@\s]+@[^@\s]+\.[^@\s]+$""),""Valid"",""Invalid""))"),"Valid")</f>
        <v>Valid</v>
      </c>
      <c r="J166" s="4" t="s">
        <v>891</v>
      </c>
      <c r="K166" s="4" t="s">
        <v>892</v>
      </c>
      <c r="L166" s="4" t="s">
        <v>162</v>
      </c>
      <c r="M166" s="4" t="str">
        <f t="shared" si="3"/>
        <v>United States</v>
      </c>
      <c r="N166" s="4" t="s">
        <v>57</v>
      </c>
      <c r="O166" s="4" t="s">
        <v>28</v>
      </c>
      <c r="P166" s="4" t="s">
        <v>134</v>
      </c>
      <c r="Q166" s="4" t="str">
        <f t="shared" si="4"/>
        <v>Qualified</v>
      </c>
      <c r="R166" s="9"/>
      <c r="S166" s="10">
        <v>46233.0</v>
      </c>
      <c r="T166" s="10">
        <v>46254.0</v>
      </c>
      <c r="U166" s="4" t="s">
        <v>66</v>
      </c>
    </row>
    <row r="167" ht="15.75" customHeight="1">
      <c r="A167" s="4" t="s">
        <v>893</v>
      </c>
      <c r="B167" s="4" t="s">
        <v>894</v>
      </c>
      <c r="C167" s="4" t="s">
        <v>895</v>
      </c>
      <c r="D167" s="4" t="str">
        <f t="shared" si="1"/>
        <v>andres.castro65@outlook.com</v>
      </c>
      <c r="G167" s="4" t="str">
        <f t="shared" si="2"/>
        <v>Unique</v>
      </c>
      <c r="I167" s="4" t="str">
        <f>IFERROR(__xludf.DUMMYFUNCTION("IF(C167="""",""Missing"",IF(REGEXMATCH(C167,""^[^@\s]+@[^@\s]+\.[^@\s]+$""),""Valid"",""Invalid""))"),"Valid")</f>
        <v>Valid</v>
      </c>
      <c r="J167" s="4" t="s">
        <v>896</v>
      </c>
      <c r="K167" s="4" t="s">
        <v>897</v>
      </c>
      <c r="L167" s="4" t="s">
        <v>75</v>
      </c>
      <c r="M167" s="4" t="str">
        <f t="shared" si="3"/>
        <v>United States</v>
      </c>
      <c r="N167" s="4" t="s">
        <v>27</v>
      </c>
      <c r="O167" s="4" t="s">
        <v>49</v>
      </c>
      <c r="P167" s="4" t="s">
        <v>134</v>
      </c>
      <c r="Q167" s="4" t="str">
        <f t="shared" si="4"/>
        <v>Qualified</v>
      </c>
      <c r="R167" s="9">
        <v>4500.0</v>
      </c>
      <c r="S167" s="10">
        <v>46212.0</v>
      </c>
      <c r="T167" s="10">
        <v>46257.0</v>
      </c>
    </row>
    <row r="168" ht="15.75" customHeight="1">
      <c r="A168" s="4" t="s">
        <v>898</v>
      </c>
      <c r="B168" s="4" t="s">
        <v>899</v>
      </c>
      <c r="C168" s="4" t="s">
        <v>900</v>
      </c>
      <c r="D168" s="4" t="str">
        <f t="shared" si="1"/>
        <v>manuel.sanchez24@gmail.com</v>
      </c>
      <c r="G168" s="4" t="str">
        <f t="shared" si="2"/>
        <v>Unique</v>
      </c>
      <c r="I168" s="4" t="str">
        <f>IFERROR(__xludf.DUMMYFUNCTION("IF(C168="""",""Missing"",IF(REGEXMATCH(C168,""^[^@\s]+@[^@\s]+\.[^@\s]+$""),""Valid"",""Invalid""))"),"Valid")</f>
        <v>Valid</v>
      </c>
      <c r="J168" s="4" t="s">
        <v>901</v>
      </c>
      <c r="K168" s="4" t="s">
        <v>228</v>
      </c>
      <c r="L168" s="4" t="s">
        <v>75</v>
      </c>
      <c r="M168" s="4" t="str">
        <f t="shared" si="3"/>
        <v>United States</v>
      </c>
      <c r="N168" s="4" t="s">
        <v>106</v>
      </c>
      <c r="O168" s="4" t="s">
        <v>49</v>
      </c>
      <c r="P168" s="4" t="s">
        <v>29</v>
      </c>
      <c r="Q168" s="4" t="str">
        <f t="shared" si="4"/>
        <v>Contacted</v>
      </c>
      <c r="R168" s="9">
        <v>1200.0</v>
      </c>
      <c r="S168" s="10">
        <v>46130.0</v>
      </c>
      <c r="T168" s="10">
        <v>46169.0</v>
      </c>
      <c r="U168" s="4" t="s">
        <v>30</v>
      </c>
    </row>
    <row r="169" ht="15.75" customHeight="1">
      <c r="A169" s="4" t="s">
        <v>902</v>
      </c>
      <c r="B169" s="4" t="s">
        <v>903</v>
      </c>
      <c r="C169" s="4" t="s">
        <v>904</v>
      </c>
      <c r="D169" s="4" t="str">
        <f t="shared" si="1"/>
        <v>ana.castro42@gmail.com</v>
      </c>
      <c r="G169" s="4" t="str">
        <f t="shared" si="2"/>
        <v>Unique</v>
      </c>
      <c r="I169" s="4" t="str">
        <f>IFERROR(__xludf.DUMMYFUNCTION("IF(C169="""",""Missing"",IF(REGEXMATCH(C169,""^[^@\s]+@[^@\s]+\.[^@\s]+$""),""Valid"",""Invalid""))"),"Valid")</f>
        <v>Valid</v>
      </c>
      <c r="K169" s="4" t="s">
        <v>325</v>
      </c>
      <c r="L169" s="4" t="s">
        <v>538</v>
      </c>
      <c r="M169" s="4" t="str">
        <f t="shared" si="3"/>
        <v>Spain</v>
      </c>
      <c r="N169" s="4" t="s">
        <v>27</v>
      </c>
      <c r="O169" s="4" t="s">
        <v>28</v>
      </c>
      <c r="P169" s="4" t="s">
        <v>77</v>
      </c>
      <c r="Q169" s="4" t="str">
        <f t="shared" si="4"/>
        <v>Proposal Sent</v>
      </c>
      <c r="R169" s="9">
        <v>750.0</v>
      </c>
      <c r="S169" s="10">
        <v>46255.0</v>
      </c>
      <c r="T169" s="10">
        <v>46264.0</v>
      </c>
    </row>
    <row r="170" ht="15.75" customHeight="1">
      <c r="A170" s="4" t="s">
        <v>905</v>
      </c>
      <c r="B170" s="4" t="s">
        <v>906</v>
      </c>
      <c r="C170" s="4" t="s">
        <v>907</v>
      </c>
      <c r="D170" s="4" t="str">
        <f t="shared" si="1"/>
        <v>patricia.rivera43@outlook.com</v>
      </c>
      <c r="G170" s="4" t="str">
        <f t="shared" si="2"/>
        <v>Unique</v>
      </c>
      <c r="I170" s="4" t="str">
        <f>IFERROR(__xludf.DUMMYFUNCTION("IF(C170="""",""Missing"",IF(REGEXMATCH(C170,""^[^@\s]+@[^@\s]+\.[^@\s]+$""),""Valid"",""Invalid""))"),"Valid")</f>
        <v>Valid</v>
      </c>
      <c r="J170" s="4" t="s">
        <v>908</v>
      </c>
      <c r="K170" s="4" t="s">
        <v>909</v>
      </c>
      <c r="L170" s="4" t="s">
        <v>211</v>
      </c>
      <c r="M170" s="4" t="str">
        <f t="shared" si="3"/>
        <v>Mexico</v>
      </c>
      <c r="N170" s="4" t="s">
        <v>106</v>
      </c>
      <c r="O170" s="4" t="s">
        <v>40</v>
      </c>
      <c r="P170" s="4" t="s">
        <v>29</v>
      </c>
      <c r="Q170" s="4" t="str">
        <f t="shared" si="4"/>
        <v>Contacted</v>
      </c>
      <c r="R170" s="9">
        <v>750.0</v>
      </c>
      <c r="S170" s="10">
        <v>46127.0</v>
      </c>
      <c r="T170" s="10">
        <v>46168.0</v>
      </c>
    </row>
    <row r="171" ht="15.75" customHeight="1">
      <c r="A171" s="4" t="s">
        <v>910</v>
      </c>
      <c r="B171" s="4" t="s">
        <v>911</v>
      </c>
      <c r="C171" s="4" t="s">
        <v>912</v>
      </c>
      <c r="D171" s="4" t="str">
        <f t="shared" si="1"/>
        <v>valeria.vargas97@company.com</v>
      </c>
      <c r="G171" s="4" t="str">
        <f t="shared" si="2"/>
        <v>Unique</v>
      </c>
      <c r="I171" s="4" t="str">
        <f>IFERROR(__xludf.DUMMYFUNCTION("IF(C171="""",""Missing"",IF(REGEXMATCH(C171,""^[^@\s]+@[^@\s]+\.[^@\s]+$""),""Valid"",""Invalid""))"),"Valid")</f>
        <v>Valid</v>
      </c>
      <c r="J171" s="4" t="s">
        <v>913</v>
      </c>
      <c r="K171" s="4" t="s">
        <v>760</v>
      </c>
      <c r="L171" s="4" t="s">
        <v>248</v>
      </c>
      <c r="M171" s="4" t="str">
        <f t="shared" si="3"/>
        <v>Colombia</v>
      </c>
      <c r="N171" s="4" t="s">
        <v>27</v>
      </c>
      <c r="O171" s="4" t="s">
        <v>40</v>
      </c>
      <c r="P171" s="4" t="s">
        <v>77</v>
      </c>
      <c r="Q171" s="4" t="str">
        <f t="shared" si="4"/>
        <v>Proposal Sent</v>
      </c>
      <c r="R171" s="9">
        <v>2000.0</v>
      </c>
      <c r="S171" s="10">
        <v>46238.0</v>
      </c>
      <c r="T171" s="10">
        <v>46263.0</v>
      </c>
      <c r="U171" s="4" t="s">
        <v>66</v>
      </c>
    </row>
    <row r="172" ht="15.75" customHeight="1">
      <c r="A172" s="4" t="s">
        <v>914</v>
      </c>
      <c r="B172" s="4" t="s">
        <v>915</v>
      </c>
      <c r="C172" s="4" t="s">
        <v>916</v>
      </c>
      <c r="D172" s="4" t="str">
        <f t="shared" si="1"/>
        <v>isabel.castro42@company.com</v>
      </c>
      <c r="G172" s="4" t="str">
        <f t="shared" si="2"/>
        <v>Unique</v>
      </c>
      <c r="I172" s="4" t="str">
        <f>IFERROR(__xludf.DUMMYFUNCTION("IF(C172="""",""Missing"",IF(REGEXMATCH(C172,""^[^@\s]+@[^@\s]+\.[^@\s]+$""),""Valid"",""Invalid""))"),"Valid")</f>
        <v>Valid</v>
      </c>
      <c r="J172" s="4" t="s">
        <v>917</v>
      </c>
      <c r="K172" s="4" t="s">
        <v>266</v>
      </c>
      <c r="L172" s="4" t="s">
        <v>664</v>
      </c>
      <c r="M172" s="4" t="str">
        <f t="shared" si="3"/>
        <v>Spain</v>
      </c>
      <c r="N172" s="4" t="s">
        <v>39</v>
      </c>
      <c r="O172" s="4" t="s">
        <v>40</v>
      </c>
      <c r="P172" s="4" t="s">
        <v>58</v>
      </c>
      <c r="Q172" s="4" t="str">
        <f t="shared" si="4"/>
        <v>Lost</v>
      </c>
      <c r="R172" s="9">
        <v>750.0</v>
      </c>
      <c r="S172" s="10">
        <v>46100.0</v>
      </c>
      <c r="T172" s="10">
        <v>46104.0</v>
      </c>
      <c r="U172" s="4" t="s">
        <v>41</v>
      </c>
    </row>
    <row r="173" ht="15.75" customHeight="1">
      <c r="A173" s="4" t="s">
        <v>918</v>
      </c>
      <c r="B173" s="4" t="s">
        <v>863</v>
      </c>
      <c r="C173" s="4" t="s">
        <v>919</v>
      </c>
      <c r="D173" s="4" t="str">
        <f t="shared" si="1"/>
        <v>laura.torres81@gmail</v>
      </c>
      <c r="E173" s="11" t="s">
        <v>662</v>
      </c>
      <c r="F173" s="11"/>
      <c r="G173" s="4" t="str">
        <f t="shared" si="2"/>
        <v>Unique</v>
      </c>
      <c r="I173" s="4" t="str">
        <f>IFERROR(__xludf.DUMMYFUNCTION("IF(C173="""",""Missing"",IF(REGEXMATCH(C173,""^[^@\s]+@[^@\s]+\.[^@\s]+$""),""Valid"",""Invalid""))"),"Invalid")</f>
        <v>Invalid</v>
      </c>
      <c r="J173" s="4" t="s">
        <v>920</v>
      </c>
      <c r="K173" s="4" t="s">
        <v>223</v>
      </c>
      <c r="L173" s="4" t="s">
        <v>56</v>
      </c>
      <c r="M173" s="4" t="str">
        <f t="shared" si="3"/>
        <v>Argentina</v>
      </c>
      <c r="N173" s="4" t="s">
        <v>57</v>
      </c>
      <c r="O173" s="4" t="s">
        <v>49</v>
      </c>
      <c r="P173" s="4" t="s">
        <v>65</v>
      </c>
      <c r="Q173" s="4" t="str">
        <f t="shared" si="4"/>
        <v>Won</v>
      </c>
      <c r="R173" s="9">
        <v>3000.0</v>
      </c>
      <c r="S173" s="10">
        <v>46053.0</v>
      </c>
      <c r="T173" s="10"/>
      <c r="U173" s="4" t="s">
        <v>30</v>
      </c>
    </row>
    <row r="174" ht="15.75" customHeight="1">
      <c r="A174" s="4" t="s">
        <v>921</v>
      </c>
      <c r="B174" s="4" t="s">
        <v>922</v>
      </c>
      <c r="C174" s="4" t="s">
        <v>923</v>
      </c>
      <c r="D174" s="4" t="str">
        <f t="shared" si="1"/>
        <v>fernando.vargas89@gmail.com</v>
      </c>
      <c r="G174" s="4" t="str">
        <f t="shared" si="2"/>
        <v>Unique</v>
      </c>
      <c r="I174" s="4" t="str">
        <f>IFERROR(__xludf.DUMMYFUNCTION("IF(C174="""",""Missing"",IF(REGEXMATCH(C174,""^[^@\s]+@[^@\s]+\.[^@\s]+$""),""Valid"",""Invalid""))"),"Valid")</f>
        <v>Valid</v>
      </c>
      <c r="J174" s="4" t="s">
        <v>924</v>
      </c>
      <c r="K174" s="4" t="s">
        <v>400</v>
      </c>
      <c r="L174" s="4" t="s">
        <v>38</v>
      </c>
      <c r="M174" s="4" t="str">
        <f t="shared" si="3"/>
        <v>Chile</v>
      </c>
      <c r="N174" s="4" t="s">
        <v>57</v>
      </c>
      <c r="O174" s="4" t="s">
        <v>217</v>
      </c>
      <c r="P174" s="4" t="s">
        <v>77</v>
      </c>
      <c r="Q174" s="4" t="str">
        <f t="shared" si="4"/>
        <v>Proposal Sent</v>
      </c>
      <c r="R174" s="9">
        <v>2000.0</v>
      </c>
      <c r="S174" s="10">
        <v>46244.0</v>
      </c>
      <c r="T174" s="10">
        <v>46282.0</v>
      </c>
      <c r="U174" s="4" t="s">
        <v>107</v>
      </c>
    </row>
    <row r="175" ht="15.75" customHeight="1">
      <c r="A175" s="4" t="s">
        <v>925</v>
      </c>
      <c r="B175" s="4" t="s">
        <v>926</v>
      </c>
      <c r="C175" s="4" t="s">
        <v>927</v>
      </c>
      <c r="D175" s="4" t="str">
        <f t="shared" si="1"/>
        <v>maria.gomez45@company.com</v>
      </c>
      <c r="G175" s="4" t="str">
        <f t="shared" si="2"/>
        <v>Unique</v>
      </c>
      <c r="I175" s="4" t="str">
        <f>IFERROR(__xludf.DUMMYFUNCTION("IF(C175="""",""Missing"",IF(REGEXMATCH(C175,""^[^@\s]+@[^@\s]+\.[^@\s]+$""),""Valid"",""Invalid""))"),"Valid")</f>
        <v>Valid</v>
      </c>
      <c r="J175" s="4" t="s">
        <v>928</v>
      </c>
      <c r="K175" s="4" t="s">
        <v>713</v>
      </c>
      <c r="L175" s="4" t="s">
        <v>132</v>
      </c>
      <c r="M175" s="4" t="str">
        <f t="shared" si="3"/>
        <v>Argentina</v>
      </c>
      <c r="N175" s="4" t="s">
        <v>48</v>
      </c>
      <c r="O175" s="4" t="s">
        <v>40</v>
      </c>
      <c r="P175" s="4" t="s">
        <v>134</v>
      </c>
      <c r="Q175" s="4" t="str">
        <f t="shared" si="4"/>
        <v>Qualified</v>
      </c>
      <c r="R175" s="9">
        <v>3000.0</v>
      </c>
      <c r="S175" s="10">
        <v>46041.0</v>
      </c>
      <c r="T175" s="10">
        <v>46070.0</v>
      </c>
      <c r="U175" s="4" t="s">
        <v>107</v>
      </c>
    </row>
    <row r="176" ht="15.75" customHeight="1">
      <c r="A176" s="4" t="s">
        <v>929</v>
      </c>
      <c r="B176" s="4" t="s">
        <v>930</v>
      </c>
      <c r="C176" s="4" t="s">
        <v>931</v>
      </c>
      <c r="D176" s="4" t="str">
        <f t="shared" si="1"/>
        <v>carlos.hernandez52@outlook.com</v>
      </c>
      <c r="G176" s="4" t="str">
        <f t="shared" si="2"/>
        <v>Unique</v>
      </c>
      <c r="I176" s="4" t="str">
        <f>IFERROR(__xludf.DUMMYFUNCTION("IF(C176="""",""Missing"",IF(REGEXMATCH(C176,""^[^@\s]+@[^@\s]+\.[^@\s]+$""),""Valid"",""Invalid""))"),"Valid")</f>
        <v>Valid</v>
      </c>
      <c r="J176" s="4" t="s">
        <v>932</v>
      </c>
      <c r="K176" s="4" t="s">
        <v>879</v>
      </c>
      <c r="L176" s="4" t="s">
        <v>88</v>
      </c>
      <c r="M176" s="4" t="str">
        <f t="shared" si="3"/>
        <v>El Salvador</v>
      </c>
      <c r="N176" s="4" t="s">
        <v>57</v>
      </c>
      <c r="O176" s="4" t="s">
        <v>40</v>
      </c>
      <c r="P176" s="4" t="s">
        <v>29</v>
      </c>
      <c r="Q176" s="4" t="str">
        <f t="shared" si="4"/>
        <v>Contacted</v>
      </c>
      <c r="R176" s="9">
        <v>3000.0</v>
      </c>
      <c r="S176" s="10">
        <v>46248.0</v>
      </c>
      <c r="T176" s="10">
        <v>46290.0</v>
      </c>
      <c r="U176" s="4" t="s">
        <v>107</v>
      </c>
    </row>
    <row r="177" ht="15.75" customHeight="1">
      <c r="A177" s="4" t="s">
        <v>933</v>
      </c>
      <c r="B177" s="4" t="s">
        <v>255</v>
      </c>
      <c r="C177" s="4" t="s">
        <v>934</v>
      </c>
      <c r="D177" s="4" t="str">
        <f t="shared" si="1"/>
        <v>isabel.ortiz35@gmail.com</v>
      </c>
      <c r="G177" s="4" t="str">
        <f t="shared" si="2"/>
        <v>Unique</v>
      </c>
      <c r="I177" s="4" t="str">
        <f>IFERROR(__xludf.DUMMYFUNCTION("IF(C177="""",""Missing"",IF(REGEXMATCH(C177,""^[^@\s]+@[^@\s]+\.[^@\s]+$""),""Valid"",""Invalid""))"),"Valid")</f>
        <v>Valid</v>
      </c>
      <c r="J177" s="4" t="s">
        <v>935</v>
      </c>
      <c r="K177" s="4" t="s">
        <v>936</v>
      </c>
      <c r="L177" s="4" t="s">
        <v>47</v>
      </c>
      <c r="M177" s="4" t="str">
        <f t="shared" si="3"/>
        <v>El Salvador</v>
      </c>
      <c r="N177" s="4" t="s">
        <v>57</v>
      </c>
      <c r="O177" s="4" t="s">
        <v>217</v>
      </c>
      <c r="P177" s="4" t="s">
        <v>134</v>
      </c>
      <c r="Q177" s="4" t="str">
        <f t="shared" si="4"/>
        <v>Qualified</v>
      </c>
      <c r="R177" s="9">
        <v>900.0</v>
      </c>
      <c r="S177" s="10">
        <v>46216.0</v>
      </c>
      <c r="T177" s="10">
        <v>46230.0</v>
      </c>
      <c r="U177" s="4" t="s">
        <v>66</v>
      </c>
    </row>
    <row r="178" ht="15.75" customHeight="1">
      <c r="A178" s="4" t="s">
        <v>937</v>
      </c>
      <c r="B178" s="4" t="s">
        <v>234</v>
      </c>
      <c r="C178" s="4" t="s">
        <v>938</v>
      </c>
      <c r="D178" s="4" t="str">
        <f t="shared" si="1"/>
        <v>patricia.diaz44@mail.com</v>
      </c>
      <c r="G178" s="4" t="str">
        <f t="shared" si="2"/>
        <v>Unique</v>
      </c>
      <c r="I178" s="4" t="str">
        <f>IFERROR(__xludf.DUMMYFUNCTION("IF(C178="""",""Missing"",IF(REGEXMATCH(C178,""^[^@\s]+@[^@\s]+\.[^@\s]+$""),""Valid"",""Invalid""))"),"Valid")</f>
        <v>Valid</v>
      </c>
      <c r="K178" s="4" t="s">
        <v>939</v>
      </c>
      <c r="L178" s="4" t="s">
        <v>168</v>
      </c>
      <c r="M178" s="4" t="str">
        <f t="shared" si="3"/>
        <v>Argentina</v>
      </c>
      <c r="N178" s="4" t="s">
        <v>27</v>
      </c>
      <c r="O178" s="4" t="s">
        <v>40</v>
      </c>
      <c r="P178" s="4" t="s">
        <v>77</v>
      </c>
      <c r="Q178" s="4" t="str">
        <f t="shared" si="4"/>
        <v>Proposal Sent</v>
      </c>
      <c r="R178" s="9">
        <v>3000.0</v>
      </c>
      <c r="S178" s="10">
        <v>46095.0</v>
      </c>
      <c r="T178" s="10"/>
      <c r="U178" s="4" t="s">
        <v>107</v>
      </c>
    </row>
    <row r="179" ht="15.75" customHeight="1">
      <c r="A179" s="4" t="s">
        <v>940</v>
      </c>
      <c r="B179" s="4" t="s">
        <v>941</v>
      </c>
      <c r="C179" s="4" t="s">
        <v>942</v>
      </c>
      <c r="D179" s="4" t="str">
        <f t="shared" si="1"/>
        <v>sergio.sanchez42@gmail.com</v>
      </c>
      <c r="G179" s="4" t="str">
        <f t="shared" si="2"/>
        <v>Unique</v>
      </c>
      <c r="I179" s="4" t="str">
        <f>IFERROR(__xludf.DUMMYFUNCTION("IF(C179="""",""Missing"",IF(REGEXMATCH(C179,""^[^@\s]+@[^@\s]+\.[^@\s]+$""),""Valid"",""Invalid""))"),"Valid")</f>
        <v>Valid</v>
      </c>
      <c r="J179" s="4" t="s">
        <v>943</v>
      </c>
      <c r="K179" s="4" t="s">
        <v>944</v>
      </c>
      <c r="L179" s="4" t="s">
        <v>201</v>
      </c>
      <c r="M179" s="4" t="str">
        <f t="shared" si="3"/>
        <v>Mexico</v>
      </c>
      <c r="N179" s="4" t="s">
        <v>27</v>
      </c>
      <c r="O179" s="4" t="s">
        <v>217</v>
      </c>
      <c r="P179" s="4" t="s">
        <v>50</v>
      </c>
      <c r="Q179" s="4" t="str">
        <f t="shared" si="4"/>
        <v>New</v>
      </c>
      <c r="R179" s="9">
        <v>750.0</v>
      </c>
      <c r="S179" s="10">
        <v>46027.0</v>
      </c>
      <c r="T179" s="10">
        <v>46043.0</v>
      </c>
      <c r="U179" s="4" t="s">
        <v>66</v>
      </c>
    </row>
    <row r="180" ht="15.75" customHeight="1">
      <c r="A180" s="4" t="s">
        <v>945</v>
      </c>
      <c r="B180" s="4" t="s">
        <v>946</v>
      </c>
      <c r="C180" s="4" t="s">
        <v>947</v>
      </c>
      <c r="D180" s="4" t="str">
        <f t="shared" si="1"/>
        <v>paula.garcia31@outlook.com</v>
      </c>
      <c r="G180" s="4" t="str">
        <f t="shared" si="2"/>
        <v>Unique</v>
      </c>
      <c r="I180" s="4" t="str">
        <f>IFERROR(__xludf.DUMMYFUNCTION("IF(C180="""",""Missing"",IF(REGEXMATCH(C180,""^[^@\s]+@[^@\s]+\.[^@\s]+$""),""Valid"",""Invalid""))"),"Valid")</f>
        <v>Valid</v>
      </c>
      <c r="J180" s="4" t="s">
        <v>948</v>
      </c>
      <c r="K180" s="4" t="s">
        <v>949</v>
      </c>
      <c r="L180" s="4" t="s">
        <v>38</v>
      </c>
      <c r="M180" s="4" t="str">
        <f t="shared" si="3"/>
        <v>Chile</v>
      </c>
      <c r="N180" s="4" t="s">
        <v>133</v>
      </c>
      <c r="O180" s="4" t="s">
        <v>49</v>
      </c>
      <c r="P180" s="4" t="s">
        <v>58</v>
      </c>
      <c r="Q180" s="4" t="str">
        <f t="shared" si="4"/>
        <v>Lost</v>
      </c>
      <c r="R180" s="9">
        <v>750.0</v>
      </c>
      <c r="S180" s="10">
        <v>46097.0</v>
      </c>
      <c r="T180" s="10">
        <v>46142.0</v>
      </c>
      <c r="U180" s="4" t="s">
        <v>66</v>
      </c>
    </row>
    <row r="181" ht="15.75" customHeight="1">
      <c r="A181" s="4" t="s">
        <v>950</v>
      </c>
      <c r="B181" s="4" t="s">
        <v>951</v>
      </c>
      <c r="C181" s="4" t="s">
        <v>952</v>
      </c>
      <c r="D181" s="4" t="str">
        <f t="shared" si="1"/>
        <v>isabel.torres94@mail.com</v>
      </c>
      <c r="G181" s="4" t="str">
        <f t="shared" si="2"/>
        <v>Unique</v>
      </c>
      <c r="I181" s="4" t="str">
        <f>IFERROR(__xludf.DUMMYFUNCTION("IF(C181="""",""Missing"",IF(REGEXMATCH(C181,""^[^@\s]+@[^@\s]+\.[^@\s]+$""),""Valid"",""Invalid""))"),"Valid")</f>
        <v>Valid</v>
      </c>
      <c r="J181" s="4" t="s">
        <v>953</v>
      </c>
      <c r="L181" s="4" t="s">
        <v>88</v>
      </c>
      <c r="M181" s="4" t="str">
        <f t="shared" si="3"/>
        <v>El Salvador</v>
      </c>
      <c r="N181" s="4" t="s">
        <v>27</v>
      </c>
      <c r="O181" s="4" t="s">
        <v>49</v>
      </c>
      <c r="P181" s="4" t="s">
        <v>58</v>
      </c>
      <c r="Q181" s="4" t="str">
        <f t="shared" si="4"/>
        <v>Lost</v>
      </c>
      <c r="R181" s="9">
        <v>3000.0</v>
      </c>
      <c r="S181" s="10">
        <v>46083.0</v>
      </c>
      <c r="T181" s="10">
        <v>46123.0</v>
      </c>
      <c r="U181" s="4" t="s">
        <v>107</v>
      </c>
    </row>
    <row r="182" ht="15.75" customHeight="1">
      <c r="A182" s="4" t="s">
        <v>954</v>
      </c>
      <c r="B182" s="4" t="s">
        <v>955</v>
      </c>
      <c r="C182" s="4" t="s">
        <v>956</v>
      </c>
      <c r="D182" s="4" t="str">
        <f t="shared" si="1"/>
        <v>luis.romero32@mail.com</v>
      </c>
      <c r="G182" s="4" t="str">
        <f t="shared" si="2"/>
        <v>Unique</v>
      </c>
      <c r="I182" s="4" t="str">
        <f>IFERROR(__xludf.DUMMYFUNCTION("IF(C182="""",""Missing"",IF(REGEXMATCH(C182,""^[^@\s]+@[^@\s]+\.[^@\s]+$""),""Valid"",""Invalid""))"),"Valid")</f>
        <v>Valid</v>
      </c>
      <c r="J182" s="4" t="s">
        <v>957</v>
      </c>
      <c r="K182" s="4" t="s">
        <v>266</v>
      </c>
      <c r="L182" s="4" t="s">
        <v>162</v>
      </c>
      <c r="M182" s="4" t="str">
        <f t="shared" si="3"/>
        <v>United States</v>
      </c>
      <c r="N182" s="4" t="s">
        <v>106</v>
      </c>
      <c r="O182" s="4" t="s">
        <v>28</v>
      </c>
      <c r="P182" s="4" t="s">
        <v>29</v>
      </c>
      <c r="Q182" s="4" t="str">
        <f t="shared" si="4"/>
        <v>Contacted</v>
      </c>
      <c r="R182" s="9">
        <v>750.0</v>
      </c>
      <c r="S182" s="10">
        <v>46201.0</v>
      </c>
      <c r="T182" s="10">
        <v>46211.0</v>
      </c>
      <c r="U182" s="4" t="s">
        <v>30</v>
      </c>
    </row>
    <row r="183" ht="15.75" customHeight="1">
      <c r="A183" s="4" t="s">
        <v>958</v>
      </c>
      <c r="B183" s="4" t="s">
        <v>959</v>
      </c>
      <c r="C183" s="4" t="s">
        <v>960</v>
      </c>
      <c r="D183" s="4" t="str">
        <f t="shared" si="1"/>
        <v>javier.vargas25@gmail.com</v>
      </c>
      <c r="G183" s="4" t="str">
        <f t="shared" si="2"/>
        <v>Unique</v>
      </c>
      <c r="I183" s="4" t="str">
        <f>IFERROR(__xludf.DUMMYFUNCTION("IF(C183="""",""Missing"",IF(REGEXMATCH(C183,""^[^@\s]+@[^@\s]+\.[^@\s]+$""),""Valid"",""Invalid""))"),"Valid")</f>
        <v>Valid</v>
      </c>
      <c r="K183" s="4" t="s">
        <v>962</v>
      </c>
      <c r="L183" s="4" t="s">
        <v>283</v>
      </c>
      <c r="M183" s="4" t="str">
        <f t="shared" si="3"/>
        <v>Colombia</v>
      </c>
      <c r="N183" s="4" t="s">
        <v>48</v>
      </c>
      <c r="O183" s="4" t="s">
        <v>40</v>
      </c>
      <c r="P183" s="4" t="s">
        <v>77</v>
      </c>
      <c r="Q183" s="4" t="str">
        <f t="shared" si="4"/>
        <v>Proposal Sent</v>
      </c>
      <c r="R183" s="9">
        <v>500.0</v>
      </c>
      <c r="S183" s="10">
        <v>46189.0</v>
      </c>
      <c r="T183" s="10">
        <v>46190.0</v>
      </c>
      <c r="U183" s="4" t="s">
        <v>66</v>
      </c>
    </row>
    <row r="184" ht="15.75" customHeight="1">
      <c r="A184" s="4" t="s">
        <v>964</v>
      </c>
      <c r="B184" s="4" t="s">
        <v>965</v>
      </c>
      <c r="C184" s="4" t="s">
        <v>966</v>
      </c>
      <c r="D184" s="4" t="str">
        <f t="shared" si="1"/>
        <v>david.vargas77@company.com</v>
      </c>
      <c r="G184" s="4" t="str">
        <f t="shared" si="2"/>
        <v>Unique</v>
      </c>
      <c r="I184" s="4" t="str">
        <f>IFERROR(__xludf.DUMMYFUNCTION("IF(C184="""",""Missing"",IF(REGEXMATCH(C184,""^[^@\s]+@[^@\s]+\.[^@\s]+$""),""Valid"",""Invalid""))"),"Valid")</f>
        <v>Valid</v>
      </c>
      <c r="J184" s="4" t="s">
        <v>967</v>
      </c>
      <c r="K184" s="4" t="s">
        <v>944</v>
      </c>
      <c r="L184" s="4" t="s">
        <v>126</v>
      </c>
      <c r="M184" s="4" t="str">
        <f t="shared" si="3"/>
        <v>Peru</v>
      </c>
      <c r="N184" s="4" t="s">
        <v>133</v>
      </c>
      <c r="O184" s="4" t="s">
        <v>40</v>
      </c>
      <c r="P184" s="4" t="s">
        <v>77</v>
      </c>
      <c r="Q184" s="4" t="str">
        <f t="shared" si="4"/>
        <v>Proposal Sent</v>
      </c>
      <c r="R184" s="9">
        <v>750.0</v>
      </c>
      <c r="S184" s="10">
        <v>46229.0</v>
      </c>
      <c r="T184" s="10">
        <v>46257.0</v>
      </c>
      <c r="U184" s="4" t="s">
        <v>95</v>
      </c>
    </row>
    <row r="185" ht="15.75" customHeight="1">
      <c r="A185" s="4" t="s">
        <v>968</v>
      </c>
      <c r="B185" s="4" t="s">
        <v>969</v>
      </c>
      <c r="C185" s="4" t="s">
        <v>970</v>
      </c>
      <c r="D185" s="4" t="str">
        <f t="shared" si="1"/>
        <v>diego.castro2@outlook.com</v>
      </c>
      <c r="G185" s="4" t="str">
        <f t="shared" si="2"/>
        <v>Unique</v>
      </c>
      <c r="I185" s="4" t="str">
        <f>IFERROR(__xludf.DUMMYFUNCTION("IF(C185="""",""Missing"",IF(REGEXMATCH(C185,""^[^@\s]+@[^@\s]+\.[^@\s]+$""),""Valid"",""Invalid""))"),"Valid")</f>
        <v>Valid</v>
      </c>
      <c r="J185" s="4" t="s">
        <v>972</v>
      </c>
      <c r="K185" s="4" t="s">
        <v>973</v>
      </c>
      <c r="L185" s="4" t="s">
        <v>38</v>
      </c>
      <c r="M185" s="4" t="str">
        <f t="shared" si="3"/>
        <v>Chile</v>
      </c>
      <c r="N185" s="4" t="s">
        <v>133</v>
      </c>
      <c r="O185" s="4" t="s">
        <v>76</v>
      </c>
      <c r="P185" s="4" t="s">
        <v>134</v>
      </c>
      <c r="Q185" s="4" t="str">
        <f t="shared" si="4"/>
        <v>Qualified</v>
      </c>
      <c r="R185" s="9">
        <v>350.0</v>
      </c>
      <c r="S185" s="10">
        <v>46220.0</v>
      </c>
      <c r="T185" s="10">
        <v>46253.0</v>
      </c>
      <c r="U185" s="4" t="s">
        <v>95</v>
      </c>
    </row>
    <row r="186" ht="15.75" customHeight="1">
      <c r="A186" s="4" t="s">
        <v>975</v>
      </c>
      <c r="B186" s="4" t="s">
        <v>976</v>
      </c>
      <c r="C186" s="4" t="s">
        <v>977</v>
      </c>
      <c r="D186" s="4" t="str">
        <f t="shared" si="1"/>
        <v>lucia.castro29@gmail.com</v>
      </c>
      <c r="G186" s="4" t="str">
        <f t="shared" si="2"/>
        <v>Unique</v>
      </c>
      <c r="I186" s="4" t="str">
        <f>IFERROR(__xludf.DUMMYFUNCTION("IF(C186="""",""Missing"",IF(REGEXMATCH(C186,""^[^@\s]+@[^@\s]+\.[^@\s]+$""),""Valid"",""Invalid""))"),"Valid")</f>
        <v>Valid</v>
      </c>
      <c r="J186" s="4" t="s">
        <v>978</v>
      </c>
      <c r="K186" s="4" t="s">
        <v>897</v>
      </c>
      <c r="L186" s="4" t="s">
        <v>168</v>
      </c>
      <c r="M186" s="4" t="str">
        <f t="shared" si="3"/>
        <v>Argentina</v>
      </c>
      <c r="N186" s="4" t="s">
        <v>57</v>
      </c>
      <c r="O186" s="4" t="s">
        <v>217</v>
      </c>
      <c r="P186" s="4" t="s">
        <v>304</v>
      </c>
      <c r="Q186" s="4" t="str">
        <f t="shared" si="4"/>
        <v>Qualified</v>
      </c>
      <c r="R186" s="9">
        <v>350.0</v>
      </c>
      <c r="S186" s="10">
        <v>46034.0</v>
      </c>
      <c r="T186" s="10">
        <v>46072.0</v>
      </c>
      <c r="U186" s="4" t="s">
        <v>66</v>
      </c>
    </row>
    <row r="187" ht="15.75" customHeight="1">
      <c r="A187" s="4" t="s">
        <v>979</v>
      </c>
      <c r="B187" s="4" t="s">
        <v>980</v>
      </c>
      <c r="C187" s="4" t="s">
        <v>981</v>
      </c>
      <c r="D187" s="4" t="str">
        <f t="shared" si="1"/>
        <v>luis.lopez31@mail</v>
      </c>
      <c r="E187" s="11" t="s">
        <v>662</v>
      </c>
      <c r="F187" s="11"/>
      <c r="G187" s="4" t="str">
        <f t="shared" si="2"/>
        <v>Unique</v>
      </c>
      <c r="I187" s="4" t="str">
        <f>IFERROR(__xludf.DUMMYFUNCTION("IF(C187="""",""Missing"",IF(REGEXMATCH(C187,""^[^@\s]+@[^@\s]+\.[^@\s]+$""),""Valid"",""Invalid""))"),"Invalid")</f>
        <v>Invalid</v>
      </c>
      <c r="J187" s="4" t="s">
        <v>982</v>
      </c>
      <c r="K187" s="4" t="s">
        <v>983</v>
      </c>
      <c r="L187" s="4" t="s">
        <v>201</v>
      </c>
      <c r="M187" s="4" t="str">
        <f t="shared" si="3"/>
        <v>Mexico</v>
      </c>
      <c r="N187" s="4" t="s">
        <v>39</v>
      </c>
      <c r="O187" s="4" t="s">
        <v>28</v>
      </c>
      <c r="P187" s="4" t="s">
        <v>134</v>
      </c>
      <c r="Q187" s="4" t="str">
        <f t="shared" si="4"/>
        <v>Qualified</v>
      </c>
      <c r="R187" s="9">
        <v>2000.0</v>
      </c>
      <c r="S187" s="10">
        <v>46158.0</v>
      </c>
      <c r="T187" s="10">
        <v>46190.0</v>
      </c>
      <c r="U187" s="4" t="s">
        <v>107</v>
      </c>
    </row>
    <row r="188" ht="15.75" customHeight="1">
      <c r="A188" s="4" t="s">
        <v>984</v>
      </c>
      <c r="B188" s="4" t="s">
        <v>881</v>
      </c>
      <c r="C188" s="4" t="s">
        <v>985</v>
      </c>
      <c r="D188" s="4" t="str">
        <f t="shared" si="1"/>
        <v>raul.perez66@mail.com</v>
      </c>
      <c r="G188" s="4" t="str">
        <f t="shared" si="2"/>
        <v>Unique</v>
      </c>
      <c r="I188" s="4" t="str">
        <f>IFERROR(__xludf.DUMMYFUNCTION("IF(C188="""",""Missing"",IF(REGEXMATCH(C188,""^[^@\s]+@[^@\s]+\.[^@\s]+$""),""Valid"",""Invalid""))"),"Valid")</f>
        <v>Valid</v>
      </c>
      <c r="K188" s="4" t="s">
        <v>973</v>
      </c>
      <c r="L188" s="4" t="s">
        <v>283</v>
      </c>
      <c r="M188" s="4" t="str">
        <f t="shared" si="3"/>
        <v>Colombia</v>
      </c>
      <c r="N188" s="4" t="s">
        <v>133</v>
      </c>
      <c r="O188" s="4" t="s">
        <v>40</v>
      </c>
      <c r="P188" s="4" t="s">
        <v>50</v>
      </c>
      <c r="Q188" s="4" t="str">
        <f t="shared" si="4"/>
        <v>New</v>
      </c>
      <c r="R188" s="9">
        <v>350.0</v>
      </c>
      <c r="S188" s="10">
        <v>46154.0</v>
      </c>
      <c r="T188" s="10">
        <v>46180.0</v>
      </c>
    </row>
    <row r="189" ht="15.75" customHeight="1">
      <c r="A189" s="4" t="s">
        <v>986</v>
      </c>
      <c r="B189" s="4" t="s">
        <v>987</v>
      </c>
      <c r="C189" s="4" t="s">
        <v>988</v>
      </c>
      <c r="D189" s="4" t="str">
        <f t="shared" si="1"/>
        <v>elena.diaz46@gmail.com</v>
      </c>
      <c r="G189" s="4" t="str">
        <f t="shared" si="2"/>
        <v>Unique</v>
      </c>
      <c r="I189" s="4" t="str">
        <f>IFERROR(__xludf.DUMMYFUNCTION("IF(C189="""",""Missing"",IF(REGEXMATCH(C189,""^[^@\s]+@[^@\s]+\.[^@\s]+$""),""Valid"",""Invalid""))"),"Valid")</f>
        <v>Valid</v>
      </c>
      <c r="K189" s="4" t="s">
        <v>325</v>
      </c>
      <c r="L189" s="4" t="s">
        <v>47</v>
      </c>
      <c r="M189" s="4" t="str">
        <f t="shared" si="3"/>
        <v>El Salvador</v>
      </c>
      <c r="N189" s="4" t="s">
        <v>27</v>
      </c>
      <c r="O189" s="4" t="s">
        <v>76</v>
      </c>
      <c r="P189" s="4" t="s">
        <v>577</v>
      </c>
      <c r="Q189" s="4" t="str">
        <f t="shared" si="4"/>
        <v>Contacted</v>
      </c>
      <c r="R189" s="9">
        <v>750.0</v>
      </c>
      <c r="S189" s="10">
        <v>46156.0</v>
      </c>
      <c r="T189" s="10">
        <v>46197.0</v>
      </c>
      <c r="U189" s="4" t="s">
        <v>41</v>
      </c>
    </row>
    <row r="190" ht="15.75" customHeight="1">
      <c r="A190" s="4" t="s">
        <v>989</v>
      </c>
      <c r="B190" s="4" t="s">
        <v>990</v>
      </c>
      <c r="C190" s="4" t="s">
        <v>991</v>
      </c>
      <c r="D190" s="4" t="str">
        <f t="shared" si="1"/>
        <v>miguel.martinez42@mail.com</v>
      </c>
      <c r="G190" s="4" t="str">
        <f t="shared" si="2"/>
        <v>Unique</v>
      </c>
      <c r="I190" s="4" t="str">
        <f>IFERROR(__xludf.DUMMYFUNCTION("IF(C190="""",""Missing"",IF(REGEXMATCH(C190,""^[^@\s]+@[^@\s]+\.[^@\s]+$""),""Valid"",""Invalid""))"),"Valid")</f>
        <v>Valid</v>
      </c>
      <c r="J190" s="4" t="s">
        <v>992</v>
      </c>
      <c r="K190" s="4" t="s">
        <v>325</v>
      </c>
      <c r="L190" s="4" t="s">
        <v>38</v>
      </c>
      <c r="M190" s="4" t="str">
        <f t="shared" si="3"/>
        <v>Chile</v>
      </c>
      <c r="N190" s="4" t="s">
        <v>106</v>
      </c>
      <c r="O190" s="4" t="s">
        <v>76</v>
      </c>
      <c r="P190" s="4" t="s">
        <v>134</v>
      </c>
      <c r="Q190" s="4" t="str">
        <f t="shared" si="4"/>
        <v>Qualified</v>
      </c>
      <c r="R190" s="9">
        <v>350.0</v>
      </c>
      <c r="S190" s="10">
        <v>46119.0</v>
      </c>
      <c r="T190" s="10">
        <v>46127.0</v>
      </c>
      <c r="U190" s="4" t="s">
        <v>66</v>
      </c>
    </row>
    <row r="191" ht="15.75" customHeight="1">
      <c r="A191" s="4" t="s">
        <v>993</v>
      </c>
      <c r="B191" s="4" t="s">
        <v>994</v>
      </c>
      <c r="C191" s="4" t="s">
        <v>995</v>
      </c>
      <c r="D191" s="4" t="str">
        <f t="shared" si="1"/>
        <v>lucia.rodriguez52@company.com</v>
      </c>
      <c r="G191" s="4" t="str">
        <f t="shared" si="2"/>
        <v>Unique</v>
      </c>
      <c r="I191" s="4" t="str">
        <f>IFERROR(__xludf.DUMMYFUNCTION("IF(C191="""",""Missing"",IF(REGEXMATCH(C191,""^[^@\s]+@[^@\s]+\.[^@\s]+$""),""Valid"",""Invalid""))"),"Valid")</f>
        <v>Valid</v>
      </c>
      <c r="J191" s="4" t="s">
        <v>996</v>
      </c>
      <c r="K191" s="4" t="s">
        <v>997</v>
      </c>
      <c r="L191" s="4" t="s">
        <v>26</v>
      </c>
      <c r="M191" s="4" t="str">
        <f t="shared" si="3"/>
        <v>Chile</v>
      </c>
      <c r="N191" s="4" t="s">
        <v>39</v>
      </c>
      <c r="O191" s="4" t="s">
        <v>76</v>
      </c>
      <c r="P191" s="4" t="s">
        <v>134</v>
      </c>
      <c r="Q191" s="4" t="str">
        <f t="shared" si="4"/>
        <v>Qualified</v>
      </c>
      <c r="R191" s="9">
        <v>1200.0</v>
      </c>
      <c r="S191" s="10">
        <v>46165.0</v>
      </c>
      <c r="T191" s="10">
        <v>46205.0</v>
      </c>
      <c r="U191" s="4" t="s">
        <v>107</v>
      </c>
    </row>
    <row r="192" ht="15.75" customHeight="1">
      <c r="A192" s="4" t="s">
        <v>998</v>
      </c>
      <c r="B192" s="4" t="s">
        <v>588</v>
      </c>
      <c r="C192" s="4" t="s">
        <v>999</v>
      </c>
      <c r="D192" s="4" t="str">
        <f t="shared" si="1"/>
        <v>patricia.martinez26@gmail.com</v>
      </c>
      <c r="G192" s="4" t="str">
        <f t="shared" si="2"/>
        <v>Duplicate</v>
      </c>
      <c r="H192" s="11" t="s">
        <v>69</v>
      </c>
      <c r="I192" s="4" t="str">
        <f>IFERROR(__xludf.DUMMYFUNCTION("IF(C192="""",""Missing"",IF(REGEXMATCH(C192,""^[^@\s]+@[^@\s]+\.[^@\s]+$""),""Valid"",""Invalid""))"),"Valid")</f>
        <v>Valid</v>
      </c>
      <c r="J192" s="4" t="s">
        <v>590</v>
      </c>
      <c r="K192" s="4" t="s">
        <v>591</v>
      </c>
      <c r="L192" s="4" t="s">
        <v>47</v>
      </c>
      <c r="M192" s="4" t="str">
        <f t="shared" si="3"/>
        <v>El Salvador</v>
      </c>
      <c r="N192" s="4" t="s">
        <v>57</v>
      </c>
      <c r="O192" s="4" t="s">
        <v>28</v>
      </c>
      <c r="P192" s="4" t="s">
        <v>29</v>
      </c>
      <c r="Q192" s="4" t="str">
        <f t="shared" si="4"/>
        <v>Contacted</v>
      </c>
      <c r="R192" s="9">
        <v>1200.0</v>
      </c>
      <c r="S192" s="10">
        <v>46232.0</v>
      </c>
      <c r="T192" s="10">
        <v>46254.0</v>
      </c>
    </row>
    <row r="193" ht="15.75" customHeight="1">
      <c r="A193" s="4" t="s">
        <v>961</v>
      </c>
      <c r="B193" s="4" t="s">
        <v>177</v>
      </c>
      <c r="C193" s="4" t="s">
        <v>963</v>
      </c>
      <c r="D193" s="4" t="str">
        <f t="shared" si="1"/>
        <v>paula.diaz25@outlook.com</v>
      </c>
      <c r="G193" s="4" t="str">
        <f t="shared" si="2"/>
        <v>Duplicate</v>
      </c>
      <c r="I193" s="4" t="str">
        <f>IFERROR(__xludf.DUMMYFUNCTION("IF(C193="""",""Missing"",IF(REGEXMATCH(C193,""^[^@\s]+@[^@\s]+\.[^@\s]+$""),""Valid"",""Invalid""))"),"Valid")</f>
        <v>Valid</v>
      </c>
      <c r="J193" s="4" t="s">
        <v>971</v>
      </c>
      <c r="K193" s="4" t="s">
        <v>974</v>
      </c>
      <c r="L193" s="4" t="s">
        <v>205</v>
      </c>
      <c r="M193" s="4" t="str">
        <f t="shared" si="3"/>
        <v>Chile</v>
      </c>
      <c r="N193" s="4" t="s">
        <v>133</v>
      </c>
      <c r="O193" s="4" t="s">
        <v>49</v>
      </c>
      <c r="P193" s="4" t="s">
        <v>65</v>
      </c>
      <c r="Q193" s="4" t="str">
        <f t="shared" si="4"/>
        <v>Won</v>
      </c>
      <c r="R193" s="9">
        <v>500.0</v>
      </c>
      <c r="S193" s="10">
        <v>46245.0</v>
      </c>
      <c r="T193" s="10">
        <v>46255.0</v>
      </c>
      <c r="U193" s="4" t="s">
        <v>30</v>
      </c>
      <c r="V193" s="4">
        <f>COUNTIF(G188:G387,"Duplicate")</f>
        <v>9</v>
      </c>
    </row>
    <row r="194" ht="15.75" customHeight="1">
      <c r="A194" s="4" t="s">
        <v>1000</v>
      </c>
      <c r="B194" s="4" t="s">
        <v>177</v>
      </c>
      <c r="C194" s="4" t="s">
        <v>963</v>
      </c>
      <c r="D194" s="4" t="str">
        <f t="shared" si="1"/>
        <v>paula.diaz25@outlook.com</v>
      </c>
      <c r="G194" s="4" t="str">
        <f t="shared" si="2"/>
        <v>Duplicate</v>
      </c>
      <c r="H194" s="11" t="s">
        <v>69</v>
      </c>
      <c r="I194" s="4" t="str">
        <f>IFERROR(__xludf.DUMMYFUNCTION("IF(C194="""",""Missing"",IF(REGEXMATCH(C194,""^[^@\s]+@[^@\s]+\.[^@\s]+$""),""Valid"",""Invalid""))"),"Valid")</f>
        <v>Valid</v>
      </c>
      <c r="J194" s="4" t="s">
        <v>971</v>
      </c>
      <c r="K194" s="4" t="s">
        <v>974</v>
      </c>
      <c r="L194" s="4" t="s">
        <v>205</v>
      </c>
      <c r="M194" s="4" t="str">
        <f t="shared" si="3"/>
        <v>Chile</v>
      </c>
      <c r="N194" s="4" t="s">
        <v>133</v>
      </c>
      <c r="O194" s="4" t="s">
        <v>49</v>
      </c>
      <c r="P194" s="4" t="s">
        <v>65</v>
      </c>
      <c r="Q194" s="4" t="str">
        <f t="shared" si="4"/>
        <v>Won</v>
      </c>
      <c r="R194" s="9">
        <v>500.0</v>
      </c>
      <c r="S194" s="10">
        <v>46245.0</v>
      </c>
      <c r="T194" s="10">
        <v>46255.0</v>
      </c>
      <c r="U194" s="4" t="s">
        <v>30</v>
      </c>
    </row>
    <row r="195" ht="15.75" customHeight="1">
      <c r="A195" s="4" t="s">
        <v>1001</v>
      </c>
      <c r="B195" s="4" t="s">
        <v>568</v>
      </c>
      <c r="C195" s="4" t="s">
        <v>1002</v>
      </c>
      <c r="D195" s="4" t="str">
        <f t="shared" si="1"/>
        <v>sergio.gomez90@outlook.com</v>
      </c>
      <c r="G195" s="4" t="str">
        <f t="shared" si="2"/>
        <v>Duplicate</v>
      </c>
      <c r="I195" s="4" t="str">
        <f>IFERROR(__xludf.DUMMYFUNCTION("IF(C195="""",""Missing"",IF(REGEXMATCH(C195,""^[^@\s]+@[^@\s]+\.[^@\s]+$""),""Valid"",""Invalid""))"),"Valid")</f>
        <v>Valid</v>
      </c>
      <c r="J195" s="4" t="s">
        <v>1003</v>
      </c>
      <c r="K195" s="4" t="s">
        <v>173</v>
      </c>
      <c r="L195" s="4" t="s">
        <v>168</v>
      </c>
      <c r="M195" s="4" t="str">
        <f t="shared" si="3"/>
        <v>Argentina</v>
      </c>
      <c r="N195" s="4" t="s">
        <v>133</v>
      </c>
      <c r="O195" s="4" t="s">
        <v>28</v>
      </c>
      <c r="P195" s="4" t="s">
        <v>65</v>
      </c>
      <c r="Q195" s="4" t="str">
        <f t="shared" si="4"/>
        <v>Won</v>
      </c>
      <c r="R195" s="9">
        <v>2500.0</v>
      </c>
      <c r="S195" s="10">
        <v>46209.0</v>
      </c>
      <c r="T195" s="10">
        <v>46233.0</v>
      </c>
    </row>
    <row r="196" ht="15.75" customHeight="1">
      <c r="A196" s="4" t="s">
        <v>1004</v>
      </c>
      <c r="B196" s="4" t="s">
        <v>568</v>
      </c>
      <c r="C196" s="4" t="s">
        <v>1002</v>
      </c>
      <c r="D196" s="4" t="str">
        <f t="shared" si="1"/>
        <v>sergio.gomez90@outlook.com</v>
      </c>
      <c r="G196" s="4" t="str">
        <f t="shared" si="2"/>
        <v>Duplicate</v>
      </c>
      <c r="H196" s="11" t="s">
        <v>69</v>
      </c>
      <c r="I196" s="4" t="str">
        <f>IFERROR(__xludf.DUMMYFUNCTION("IF(C196="""",""Missing"",IF(REGEXMATCH(C196,""^[^@\s]+@[^@\s]+\.[^@\s]+$""),""Valid"",""Invalid""))"),"Valid")</f>
        <v>Valid</v>
      </c>
      <c r="J196" s="4" t="s">
        <v>1003</v>
      </c>
      <c r="K196" s="4" t="s">
        <v>173</v>
      </c>
      <c r="L196" s="4" t="s">
        <v>168</v>
      </c>
      <c r="M196" s="4" t="str">
        <f t="shared" si="3"/>
        <v>Argentina</v>
      </c>
      <c r="N196" s="4" t="s">
        <v>133</v>
      </c>
      <c r="O196" s="4" t="s">
        <v>28</v>
      </c>
      <c r="P196" s="4" t="s">
        <v>65</v>
      </c>
      <c r="Q196" s="4" t="str">
        <f t="shared" si="4"/>
        <v>Won</v>
      </c>
      <c r="R196" s="9">
        <v>2500.0</v>
      </c>
      <c r="S196" s="10">
        <v>46209.0</v>
      </c>
      <c r="T196" s="10">
        <v>46233.0</v>
      </c>
    </row>
    <row r="197" ht="15.75" customHeight="1">
      <c r="A197" s="4" t="s">
        <v>1005</v>
      </c>
      <c r="B197" s="4" t="s">
        <v>1006</v>
      </c>
      <c r="D197" s="4" t="str">
        <f t="shared" si="1"/>
        <v/>
      </c>
      <c r="G197" s="4" t="str">
        <f t="shared" si="2"/>
        <v>Missing Email</v>
      </c>
      <c r="I197" s="4" t="str">
        <f>IFERROR(__xludf.DUMMYFUNCTION("IF(C197="""",""Missing"",IF(REGEXMATCH(C197,""^[^@\s]+@[^@\s]+\.[^@\s]+$""),""Valid"",""Invalid""))"),"Missing")</f>
        <v>Missing</v>
      </c>
      <c r="J197" s="4" t="s">
        <v>580</v>
      </c>
      <c r="K197" s="4" t="s">
        <v>581</v>
      </c>
      <c r="L197" s="4" t="s">
        <v>582</v>
      </c>
      <c r="M197" s="4" t="str">
        <f t="shared" si="3"/>
        <v>Spain</v>
      </c>
      <c r="N197" s="4" t="s">
        <v>57</v>
      </c>
      <c r="O197" s="4" t="s">
        <v>76</v>
      </c>
      <c r="P197" s="4" t="s">
        <v>77</v>
      </c>
      <c r="Q197" s="4" t="str">
        <f t="shared" si="4"/>
        <v>Proposal Sent</v>
      </c>
      <c r="R197" s="9">
        <v>2000.0</v>
      </c>
      <c r="S197" s="10">
        <v>46041.0</v>
      </c>
      <c r="T197" s="10">
        <v>46061.0</v>
      </c>
      <c r="U197" s="4" t="s">
        <v>66</v>
      </c>
    </row>
    <row r="198" ht="15.75" customHeight="1">
      <c r="A198" s="4" t="s">
        <v>253</v>
      </c>
      <c r="B198" s="4" t="s">
        <v>257</v>
      </c>
      <c r="C198" s="4" t="s">
        <v>260</v>
      </c>
      <c r="D198" s="4" t="str">
        <f t="shared" si="1"/>
        <v>valeria.rivera98@outlook.com</v>
      </c>
      <c r="G198" s="4" t="str">
        <f t="shared" si="2"/>
        <v>Duplicate</v>
      </c>
      <c r="I198" s="4" t="str">
        <f>IFERROR(__xludf.DUMMYFUNCTION("IF(C198="""",""Missing"",IF(REGEXMATCH(C198,""^[^@\s]+@[^@\s]+\.[^@\s]+$""),""Valid"",""Invalid""))"),"Valid")</f>
        <v>Valid</v>
      </c>
      <c r="J198" s="4" t="s">
        <v>271</v>
      </c>
      <c r="K198" s="4" t="s">
        <v>272</v>
      </c>
      <c r="L198" s="4" t="s">
        <v>120</v>
      </c>
      <c r="M198" s="4" t="str">
        <f t="shared" si="3"/>
        <v>United States</v>
      </c>
      <c r="N198" s="4" t="s">
        <v>57</v>
      </c>
      <c r="O198" s="4" t="s">
        <v>40</v>
      </c>
      <c r="P198" s="4" t="s">
        <v>50</v>
      </c>
      <c r="Q198" s="4" t="str">
        <f t="shared" si="4"/>
        <v>New</v>
      </c>
      <c r="R198" s="9">
        <v>1200.0</v>
      </c>
      <c r="S198" s="10">
        <v>46263.0</v>
      </c>
      <c r="T198" s="10">
        <v>46304.0</v>
      </c>
      <c r="U198" s="4" t="s">
        <v>95</v>
      </c>
      <c r="V198" s="4">
        <f>IFERROR(__xludf.DUMMYFUNCTION("COUNTA(D197:D396)-COUNTA(UNIQUE(FILTER(D197:D396,D197:D396&lt;&gt;"""")))"),3.0)</f>
        <v>3</v>
      </c>
    </row>
    <row r="199" ht="15.75" customHeight="1">
      <c r="A199" s="4" t="s">
        <v>1007</v>
      </c>
      <c r="B199" s="4" t="s">
        <v>1008</v>
      </c>
      <c r="C199" s="4" t="s">
        <v>260</v>
      </c>
      <c r="D199" s="4" t="str">
        <f t="shared" si="1"/>
        <v>valeria.rivera98@outlook.com</v>
      </c>
      <c r="G199" s="4" t="str">
        <f t="shared" si="2"/>
        <v>Duplicate</v>
      </c>
      <c r="H199" s="11" t="s">
        <v>69</v>
      </c>
      <c r="I199" s="4" t="str">
        <f>IFERROR(__xludf.DUMMYFUNCTION("IF(C199="""",""Missing"",IF(REGEXMATCH(C199,""^[^@\s]+@[^@\s]+\.[^@\s]+$""),""Valid"",""Invalid""))"),"Valid")</f>
        <v>Valid</v>
      </c>
      <c r="J199" s="4" t="s">
        <v>271</v>
      </c>
      <c r="K199" s="4" t="s">
        <v>272</v>
      </c>
      <c r="L199" s="4" t="s">
        <v>120</v>
      </c>
      <c r="M199" s="4" t="str">
        <f t="shared" si="3"/>
        <v>United States</v>
      </c>
      <c r="N199" s="4" t="s">
        <v>57</v>
      </c>
      <c r="O199" s="4" t="s">
        <v>40</v>
      </c>
      <c r="P199" s="4" t="s">
        <v>50</v>
      </c>
      <c r="Q199" s="4" t="str">
        <f t="shared" si="4"/>
        <v>New</v>
      </c>
      <c r="R199" s="9">
        <v>1200.0</v>
      </c>
      <c r="S199" s="10">
        <v>46263.0</v>
      </c>
      <c r="T199" s="10">
        <v>46304.0</v>
      </c>
      <c r="U199" s="4" t="s">
        <v>95</v>
      </c>
    </row>
    <row r="200" ht="15.75" customHeight="1">
      <c r="A200" s="4" t="s">
        <v>1009</v>
      </c>
      <c r="B200" s="4" t="s">
        <v>1010</v>
      </c>
      <c r="C200" s="4" t="s">
        <v>1011</v>
      </c>
      <c r="D200" s="4" t="str">
        <f t="shared" si="1"/>
        <v>valeria.romero51@mail.com</v>
      </c>
      <c r="G200" s="4" t="str">
        <f t="shared" si="2"/>
        <v>Duplicate</v>
      </c>
      <c r="I200" s="4" t="str">
        <f>IFERROR(__xludf.DUMMYFUNCTION("IF(C200="""",""Missing"",IF(REGEXMATCH(C200,""^[^@\s]+@[^@\s]+\.[^@\s]+$""),""Valid"",""Invalid""))"),"Valid")</f>
        <v>Valid</v>
      </c>
      <c r="J200" s="4" t="s">
        <v>1012</v>
      </c>
      <c r="K200" s="4" t="s">
        <v>1013</v>
      </c>
      <c r="L200" s="4" t="s">
        <v>201</v>
      </c>
      <c r="M200" s="4" t="str">
        <f t="shared" si="3"/>
        <v>Mexico</v>
      </c>
      <c r="N200" s="4" t="s">
        <v>57</v>
      </c>
      <c r="O200" s="4" t="s">
        <v>76</v>
      </c>
      <c r="P200" s="4" t="s">
        <v>50</v>
      </c>
      <c r="R200" s="9">
        <v>3000.0</v>
      </c>
      <c r="S200" s="10">
        <v>46045.0</v>
      </c>
      <c r="T200" s="10">
        <v>46073.0</v>
      </c>
      <c r="U200" s="4" t="s">
        <v>95</v>
      </c>
    </row>
    <row r="201" ht="15.75" customHeight="1">
      <c r="A201" s="4" t="s">
        <v>1014</v>
      </c>
      <c r="B201" s="4" t="s">
        <v>1015</v>
      </c>
      <c r="C201" s="4" t="s">
        <v>1011</v>
      </c>
      <c r="D201" s="4" t="str">
        <f t="shared" si="1"/>
        <v>valeria.romero51@mail.com</v>
      </c>
      <c r="G201" s="4" t="str">
        <f t="shared" si="2"/>
        <v>Duplicate</v>
      </c>
      <c r="H201" s="11" t="s">
        <v>69</v>
      </c>
      <c r="I201" s="4" t="str">
        <f>IFERROR(__xludf.DUMMYFUNCTION("IF(C201="""",""Missing"",IF(REGEXMATCH(C201,""^[^@\s]+@[^@\s]+\.[^@\s]+$""),""Valid"",""Invalid""))"),"Valid")</f>
        <v>Valid</v>
      </c>
      <c r="J201" s="4" t="s">
        <v>1012</v>
      </c>
      <c r="K201" s="4" t="s">
        <v>1013</v>
      </c>
      <c r="L201" s="4" t="s">
        <v>201</v>
      </c>
      <c r="M201" s="4" t="str">
        <f t="shared" si="3"/>
        <v>Mexico</v>
      </c>
      <c r="N201" s="4" t="s">
        <v>57</v>
      </c>
      <c r="O201" s="4" t="s">
        <v>76</v>
      </c>
      <c r="P201" s="4" t="s">
        <v>50</v>
      </c>
      <c r="R201" s="9">
        <v>3000.0</v>
      </c>
      <c r="S201" s="10">
        <v>46045.0</v>
      </c>
      <c r="T201" s="10">
        <v>46073.0</v>
      </c>
      <c r="U201" s="4" t="s">
        <v>95</v>
      </c>
    </row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Q$1:$Q$1000"/>
  <conditionalFormatting sqref="C2:C201 F163">
    <cfRule type="expression" dxfId="5" priority="1">
      <formula>AND(C2&lt;&gt;"",COUNTIF($C$2:$C$201,C2)&gt;1)</formula>
    </cfRule>
  </conditionalFormatting>
  <conditionalFormatting sqref="D2:I201">
    <cfRule type="expression" dxfId="6" priority="2">
      <formula>AND(D2&lt;&gt;"",COUNTIF($D$2:$D$201,D2)&gt;1)</formula>
    </cfRule>
  </conditionalFormatting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3.75"/>
    <col customWidth="1" min="2" max="2" width="17.5"/>
    <col customWidth="1" min="3" max="3" width="31.63"/>
    <col customWidth="1" min="4" max="4" width="16.13"/>
    <col customWidth="1" min="5" max="5" width="19.13"/>
    <col customWidth="1" min="6" max="6" width="16.88"/>
    <col customWidth="1" min="7" max="7" width="19.25"/>
    <col customWidth="1" min="8" max="8" width="24.0"/>
    <col customWidth="1" min="9" max="9" width="18.75"/>
    <col customWidth="1" min="10" max="10" width="26.63"/>
    <col customWidth="1" min="11" max="11" width="19.75"/>
    <col customWidth="1" min="12" max="12" width="24.13"/>
    <col customWidth="1" min="13" max="13" width="22.13"/>
  </cols>
  <sheetData>
    <row r="1" ht="22.5" customHeight="1">
      <c r="A1" s="5" t="s">
        <v>0</v>
      </c>
      <c r="B1" s="5" t="s">
        <v>1</v>
      </c>
      <c r="C1" s="6" t="s">
        <v>2</v>
      </c>
      <c r="D1" s="5" t="s">
        <v>9</v>
      </c>
      <c r="E1" s="5" t="s">
        <v>10</v>
      </c>
      <c r="F1" s="6" t="s">
        <v>11</v>
      </c>
      <c r="G1" s="5" t="s">
        <v>13</v>
      </c>
      <c r="H1" s="5" t="s">
        <v>14</v>
      </c>
      <c r="I1" s="6" t="s">
        <v>15</v>
      </c>
      <c r="J1" s="5" t="s">
        <v>17</v>
      </c>
      <c r="K1" s="5" t="s">
        <v>18</v>
      </c>
      <c r="L1" s="5" t="s">
        <v>19</v>
      </c>
      <c r="M1" s="5" t="s">
        <v>20</v>
      </c>
    </row>
    <row r="2" ht="22.5" customHeight="1">
      <c r="A2" s="8" t="s">
        <v>21</v>
      </c>
      <c r="B2" s="8" t="s">
        <v>22</v>
      </c>
      <c r="C2" s="13" t="s">
        <v>23</v>
      </c>
      <c r="D2" s="8" t="s">
        <v>24</v>
      </c>
      <c r="E2" s="8" t="s">
        <v>25</v>
      </c>
      <c r="F2" s="12" t="s">
        <v>38</v>
      </c>
      <c r="G2" s="12" t="s">
        <v>27</v>
      </c>
      <c r="H2" s="12" t="s">
        <v>28</v>
      </c>
      <c r="I2" s="12" t="s">
        <v>29</v>
      </c>
      <c r="J2" s="14"/>
      <c r="K2" s="15">
        <v>46111.0</v>
      </c>
      <c r="L2" s="15">
        <v>46153.0</v>
      </c>
      <c r="M2" s="8" t="s">
        <v>30</v>
      </c>
    </row>
    <row r="3" ht="22.5" customHeight="1">
      <c r="A3" s="8" t="s">
        <v>33</v>
      </c>
      <c r="B3" s="8" t="s">
        <v>34</v>
      </c>
      <c r="C3" s="13" t="s">
        <v>35</v>
      </c>
      <c r="D3" s="8" t="s">
        <v>36</v>
      </c>
      <c r="E3" s="8" t="s">
        <v>37</v>
      </c>
      <c r="F3" s="12" t="s">
        <v>38</v>
      </c>
      <c r="G3" s="12" t="s">
        <v>39</v>
      </c>
      <c r="H3" s="12" t="s">
        <v>40</v>
      </c>
      <c r="I3" s="12" t="s">
        <v>29</v>
      </c>
      <c r="J3" s="14">
        <v>3000.0</v>
      </c>
      <c r="K3" s="15">
        <v>46088.0</v>
      </c>
      <c r="L3" s="15">
        <v>46113.0</v>
      </c>
      <c r="M3" s="8" t="s">
        <v>41</v>
      </c>
    </row>
    <row r="4" ht="22.5" customHeight="1">
      <c r="A4" s="8" t="s">
        <v>42</v>
      </c>
      <c r="B4" s="8" t="s">
        <v>43</v>
      </c>
      <c r="C4" s="13" t="s">
        <v>44</v>
      </c>
      <c r="D4" s="8" t="s">
        <v>45</v>
      </c>
      <c r="E4" s="8" t="s">
        <v>46</v>
      </c>
      <c r="F4" s="12" t="s">
        <v>47</v>
      </c>
      <c r="G4" s="12" t="s">
        <v>48</v>
      </c>
      <c r="H4" s="12" t="s">
        <v>49</v>
      </c>
      <c r="I4" s="12" t="s">
        <v>50</v>
      </c>
      <c r="J4" s="14">
        <v>500.0</v>
      </c>
      <c r="K4" s="15">
        <v>46101.0</v>
      </c>
      <c r="L4" s="15"/>
    </row>
    <row r="5" ht="22.5" customHeight="1">
      <c r="A5" s="8" t="s">
        <v>51</v>
      </c>
      <c r="B5" s="8" t="s">
        <v>52</v>
      </c>
      <c r="C5" s="13" t="s">
        <v>53</v>
      </c>
      <c r="D5" s="8" t="s">
        <v>54</v>
      </c>
      <c r="E5" s="8" t="s">
        <v>55</v>
      </c>
      <c r="F5" s="12" t="s">
        <v>132</v>
      </c>
      <c r="G5" s="12" t="s">
        <v>57</v>
      </c>
      <c r="H5" s="12" t="s">
        <v>49</v>
      </c>
      <c r="I5" s="12" t="s">
        <v>58</v>
      </c>
      <c r="J5" s="14">
        <v>1500.0</v>
      </c>
      <c r="K5" s="15">
        <v>46215.0</v>
      </c>
      <c r="L5" s="15">
        <v>46244.0</v>
      </c>
      <c r="M5" s="8" t="s">
        <v>30</v>
      </c>
    </row>
    <row r="6" ht="22.5" customHeight="1">
      <c r="A6" s="8" t="s">
        <v>59</v>
      </c>
      <c r="B6" s="8" t="s">
        <v>60</v>
      </c>
      <c r="C6" s="13" t="s">
        <v>61</v>
      </c>
      <c r="D6" s="8" t="s">
        <v>62</v>
      </c>
      <c r="E6" s="8" t="s">
        <v>63</v>
      </c>
      <c r="F6" s="12" t="s">
        <v>175</v>
      </c>
      <c r="G6" s="12" t="s">
        <v>48</v>
      </c>
      <c r="H6" s="12" t="s">
        <v>49</v>
      </c>
      <c r="I6" s="12" t="s">
        <v>65</v>
      </c>
      <c r="J6" s="14">
        <v>350.0</v>
      </c>
      <c r="K6" s="15">
        <v>46174.0</v>
      </c>
      <c r="L6" s="15">
        <v>46191.0</v>
      </c>
      <c r="M6" s="8" t="s">
        <v>66</v>
      </c>
    </row>
    <row r="7" ht="22.5" customHeight="1">
      <c r="A7" s="8" t="s">
        <v>70</v>
      </c>
      <c r="B7" s="8" t="s">
        <v>71</v>
      </c>
      <c r="C7" s="13" t="s">
        <v>72</v>
      </c>
      <c r="D7" s="8" t="s">
        <v>73</v>
      </c>
      <c r="E7" s="8" t="s">
        <v>74</v>
      </c>
      <c r="F7" s="12" t="s">
        <v>120</v>
      </c>
      <c r="G7" s="12" t="s">
        <v>39</v>
      </c>
      <c r="H7" s="12" t="s">
        <v>76</v>
      </c>
      <c r="I7" s="12" t="s">
        <v>77</v>
      </c>
      <c r="J7" s="14">
        <v>500.0</v>
      </c>
      <c r="K7" s="15">
        <v>46052.0</v>
      </c>
      <c r="L7" s="15">
        <v>46087.0</v>
      </c>
      <c r="M7" s="8" t="s">
        <v>41</v>
      </c>
    </row>
    <row r="8" ht="22.5" customHeight="1">
      <c r="A8" s="8" t="s">
        <v>79</v>
      </c>
      <c r="B8" s="8" t="s">
        <v>80</v>
      </c>
      <c r="C8" s="13" t="s">
        <v>81</v>
      </c>
      <c r="F8" s="12" t="s">
        <v>220</v>
      </c>
      <c r="G8" s="12" t="s">
        <v>57</v>
      </c>
      <c r="H8" s="12" t="s">
        <v>40</v>
      </c>
      <c r="I8" s="12" t="s">
        <v>77</v>
      </c>
      <c r="J8" s="14">
        <v>1500.0</v>
      </c>
      <c r="K8" s="15">
        <v>46030.0</v>
      </c>
      <c r="L8" s="15">
        <v>46043.0</v>
      </c>
      <c r="M8" s="8" t="s">
        <v>30</v>
      </c>
    </row>
    <row r="9" ht="22.5" customHeight="1">
      <c r="A9" s="8" t="s">
        <v>83</v>
      </c>
      <c r="B9" s="8" t="s">
        <v>84</v>
      </c>
      <c r="C9" s="13" t="s">
        <v>85</v>
      </c>
      <c r="D9" s="8" t="s">
        <v>86</v>
      </c>
      <c r="E9" s="8" t="s">
        <v>87</v>
      </c>
      <c r="F9" s="12" t="s">
        <v>47</v>
      </c>
      <c r="G9" s="12" t="s">
        <v>27</v>
      </c>
      <c r="H9" s="12" t="s">
        <v>28</v>
      </c>
      <c r="I9" s="12" t="s">
        <v>29</v>
      </c>
      <c r="J9" s="14">
        <v>1500.0</v>
      </c>
      <c r="K9" s="15">
        <v>46095.0</v>
      </c>
      <c r="L9" s="15">
        <v>46129.0</v>
      </c>
      <c r="M9" s="8" t="s">
        <v>41</v>
      </c>
    </row>
    <row r="10" ht="22.5" customHeight="1">
      <c r="A10" s="8" t="s">
        <v>90</v>
      </c>
      <c r="B10" s="8" t="s">
        <v>91</v>
      </c>
      <c r="C10" s="13" t="s">
        <v>92</v>
      </c>
      <c r="D10" s="8" t="s">
        <v>93</v>
      </c>
      <c r="E10" s="8" t="s">
        <v>94</v>
      </c>
      <c r="F10" s="12" t="s">
        <v>132</v>
      </c>
      <c r="G10" s="12" t="s">
        <v>57</v>
      </c>
      <c r="H10" s="12" t="s">
        <v>76</v>
      </c>
      <c r="I10" s="12" t="s">
        <v>77</v>
      </c>
      <c r="J10" s="14">
        <v>350.0</v>
      </c>
      <c r="K10" s="15">
        <v>46180.0</v>
      </c>
      <c r="L10" s="15">
        <v>46181.0</v>
      </c>
      <c r="M10" s="8" t="s">
        <v>95</v>
      </c>
    </row>
    <row r="11" ht="22.5" customHeight="1">
      <c r="A11" s="8" t="s">
        <v>96</v>
      </c>
      <c r="B11" s="8" t="s">
        <v>97</v>
      </c>
      <c r="C11" s="13" t="s">
        <v>98</v>
      </c>
      <c r="D11" s="8" t="s">
        <v>99</v>
      </c>
      <c r="E11" s="8" t="s">
        <v>100</v>
      </c>
      <c r="F11" s="12" t="s">
        <v>220</v>
      </c>
      <c r="G11" s="12" t="s">
        <v>57</v>
      </c>
      <c r="H11" s="12" t="s">
        <v>40</v>
      </c>
      <c r="I11" s="12" t="s">
        <v>77</v>
      </c>
      <c r="J11" s="14">
        <v>1200.0</v>
      </c>
      <c r="K11" s="15">
        <v>46160.0</v>
      </c>
      <c r="L11" s="15"/>
      <c r="M11" s="8" t="s">
        <v>66</v>
      </c>
    </row>
    <row r="12" ht="22.5" customHeight="1">
      <c r="A12" s="8" t="s">
        <v>101</v>
      </c>
      <c r="B12" s="8" t="s">
        <v>102</v>
      </c>
      <c r="C12" s="13" t="s">
        <v>103</v>
      </c>
      <c r="D12" s="8" t="s">
        <v>104</v>
      </c>
      <c r="E12" s="8" t="s">
        <v>105</v>
      </c>
      <c r="F12" s="12" t="s">
        <v>132</v>
      </c>
      <c r="G12" s="12" t="s">
        <v>106</v>
      </c>
      <c r="H12" s="12" t="s">
        <v>28</v>
      </c>
      <c r="I12" s="12" t="s">
        <v>58</v>
      </c>
      <c r="J12" s="14">
        <v>900.0</v>
      </c>
      <c r="K12" s="15">
        <v>46179.0</v>
      </c>
      <c r="L12" s="15">
        <v>46199.0</v>
      </c>
      <c r="M12" s="8" t="s">
        <v>107</v>
      </c>
    </row>
    <row r="13" ht="22.5" customHeight="1">
      <c r="A13" s="8" t="s">
        <v>108</v>
      </c>
      <c r="B13" s="8" t="s">
        <v>109</v>
      </c>
      <c r="C13" s="13" t="s">
        <v>110</v>
      </c>
      <c r="D13" s="8" t="s">
        <v>111</v>
      </c>
      <c r="E13" s="8" t="s">
        <v>112</v>
      </c>
      <c r="F13" s="12" t="s">
        <v>132</v>
      </c>
      <c r="G13" s="12" t="s">
        <v>106</v>
      </c>
      <c r="H13" s="12" t="s">
        <v>76</v>
      </c>
      <c r="I13" s="12" t="s">
        <v>65</v>
      </c>
      <c r="J13" s="14">
        <v>350.0</v>
      </c>
      <c r="K13" s="15">
        <v>46051.0</v>
      </c>
      <c r="L13" s="15">
        <v>46051.0</v>
      </c>
      <c r="M13" s="8" t="s">
        <v>107</v>
      </c>
    </row>
    <row r="14" ht="22.5" customHeight="1">
      <c r="A14" s="8" t="s">
        <v>115</v>
      </c>
      <c r="B14" s="8" t="s">
        <v>116</v>
      </c>
      <c r="C14" s="13" t="s">
        <v>117</v>
      </c>
      <c r="D14" s="8" t="s">
        <v>118</v>
      </c>
      <c r="E14" s="8" t="s">
        <v>119</v>
      </c>
      <c r="F14" s="12" t="s">
        <v>120</v>
      </c>
      <c r="G14" s="12" t="s">
        <v>57</v>
      </c>
      <c r="H14" s="12" t="s">
        <v>28</v>
      </c>
      <c r="I14" s="12" t="s">
        <v>50</v>
      </c>
      <c r="J14" s="14">
        <v>2500.0</v>
      </c>
      <c r="K14" s="15">
        <v>46070.0</v>
      </c>
      <c r="L14" s="15">
        <v>46081.0</v>
      </c>
      <c r="M14" s="8" t="s">
        <v>41</v>
      </c>
    </row>
    <row r="15" ht="22.5" customHeight="1">
      <c r="A15" s="8" t="s">
        <v>121</v>
      </c>
      <c r="B15" s="8" t="s">
        <v>122</v>
      </c>
      <c r="C15" s="13" t="s">
        <v>123</v>
      </c>
      <c r="D15" s="8" t="s">
        <v>124</v>
      </c>
      <c r="E15" s="8" t="s">
        <v>125</v>
      </c>
      <c r="F15" s="12" t="s">
        <v>175</v>
      </c>
      <c r="G15" s="12" t="s">
        <v>27</v>
      </c>
      <c r="H15" s="12" t="s">
        <v>28</v>
      </c>
      <c r="I15" s="12" t="s">
        <v>58</v>
      </c>
      <c r="J15" s="14">
        <v>350.0</v>
      </c>
      <c r="K15" s="15">
        <v>46137.0</v>
      </c>
      <c r="L15" s="15">
        <v>46175.0</v>
      </c>
      <c r="M15" s="8" t="s">
        <v>30</v>
      </c>
    </row>
    <row r="16" ht="22.5" customHeight="1">
      <c r="A16" s="8" t="s">
        <v>127</v>
      </c>
      <c r="B16" s="8" t="s">
        <v>128</v>
      </c>
      <c r="C16" s="13" t="s">
        <v>129</v>
      </c>
      <c r="D16" s="8" t="s">
        <v>130</v>
      </c>
      <c r="E16" s="8" t="s">
        <v>131</v>
      </c>
      <c r="F16" s="12" t="s">
        <v>132</v>
      </c>
      <c r="G16" s="12" t="s">
        <v>133</v>
      </c>
      <c r="H16" s="12" t="s">
        <v>28</v>
      </c>
      <c r="I16" s="12" t="s">
        <v>134</v>
      </c>
      <c r="J16" s="14">
        <v>2000.0</v>
      </c>
      <c r="K16" s="15">
        <v>46045.0</v>
      </c>
      <c r="L16" s="15">
        <v>46079.0</v>
      </c>
      <c r="M16" s="8" t="s">
        <v>41</v>
      </c>
    </row>
    <row r="17" ht="22.5" customHeight="1">
      <c r="A17" s="8" t="s">
        <v>135</v>
      </c>
      <c r="B17" s="8" t="s">
        <v>136</v>
      </c>
      <c r="C17" s="13" t="s">
        <v>137</v>
      </c>
      <c r="D17" s="8" t="s">
        <v>138</v>
      </c>
      <c r="E17" s="8" t="s">
        <v>139</v>
      </c>
      <c r="F17" s="12" t="s">
        <v>140</v>
      </c>
      <c r="G17" s="12" t="s">
        <v>57</v>
      </c>
      <c r="H17" s="12" t="s">
        <v>28</v>
      </c>
      <c r="I17" s="12" t="s">
        <v>58</v>
      </c>
      <c r="J17" s="14">
        <v>4500.0</v>
      </c>
      <c r="K17" s="15">
        <v>46245.0</v>
      </c>
      <c r="L17" s="15">
        <v>46255.0</v>
      </c>
      <c r="M17" s="8" t="s">
        <v>107</v>
      </c>
    </row>
    <row r="18" ht="22.5" customHeight="1">
      <c r="A18" s="8" t="s">
        <v>141</v>
      </c>
      <c r="B18" s="8" t="s">
        <v>142</v>
      </c>
      <c r="C18" s="13" t="s">
        <v>143</v>
      </c>
      <c r="D18" s="8" t="s">
        <v>144</v>
      </c>
      <c r="E18" s="8" t="s">
        <v>145</v>
      </c>
      <c r="F18" s="12" t="s">
        <v>175</v>
      </c>
      <c r="G18" s="12" t="s">
        <v>48</v>
      </c>
      <c r="H18" s="12" t="s">
        <v>76</v>
      </c>
      <c r="I18" s="12" t="s">
        <v>50</v>
      </c>
      <c r="J18" s="14">
        <v>3000.0</v>
      </c>
      <c r="K18" s="15">
        <v>46037.0</v>
      </c>
      <c r="L18" s="15">
        <v>46053.0</v>
      </c>
      <c r="M18" s="8" t="s">
        <v>95</v>
      </c>
    </row>
    <row r="19" ht="22.5" customHeight="1">
      <c r="A19" s="8" t="s">
        <v>146</v>
      </c>
      <c r="B19" s="8" t="s">
        <v>147</v>
      </c>
      <c r="C19" s="13" t="s">
        <v>148</v>
      </c>
      <c r="D19" s="8" t="s">
        <v>149</v>
      </c>
      <c r="E19" s="8" t="s">
        <v>150</v>
      </c>
      <c r="F19" s="12" t="s">
        <v>47</v>
      </c>
      <c r="G19" s="12" t="s">
        <v>48</v>
      </c>
      <c r="H19" s="12" t="s">
        <v>28</v>
      </c>
      <c r="I19" s="12" t="s">
        <v>29</v>
      </c>
      <c r="J19" s="14">
        <v>1200.0</v>
      </c>
      <c r="K19" s="15">
        <v>46231.0</v>
      </c>
      <c r="L19" s="15">
        <v>46231.0</v>
      </c>
    </row>
    <row r="20" ht="22.5" customHeight="1">
      <c r="A20" s="8" t="s">
        <v>152</v>
      </c>
      <c r="B20" s="8" t="s">
        <v>153</v>
      </c>
      <c r="C20" s="13" t="s">
        <v>154</v>
      </c>
      <c r="D20" s="8" t="s">
        <v>155</v>
      </c>
      <c r="E20" s="8" t="s">
        <v>156</v>
      </c>
      <c r="F20" s="12" t="s">
        <v>47</v>
      </c>
      <c r="G20" s="12" t="s">
        <v>39</v>
      </c>
      <c r="H20" s="12" t="s">
        <v>76</v>
      </c>
      <c r="I20" s="12" t="s">
        <v>50</v>
      </c>
      <c r="J20" s="14">
        <v>500.0</v>
      </c>
      <c r="K20" s="15">
        <v>46232.0</v>
      </c>
      <c r="L20" s="15">
        <v>46263.0</v>
      </c>
      <c r="M20" s="8" t="s">
        <v>95</v>
      </c>
    </row>
    <row r="21" ht="22.5" customHeight="1">
      <c r="A21" s="8" t="s">
        <v>157</v>
      </c>
      <c r="B21" s="8" t="s">
        <v>158</v>
      </c>
      <c r="C21" s="13" t="s">
        <v>159</v>
      </c>
      <c r="D21" s="8" t="s">
        <v>160</v>
      </c>
      <c r="E21" s="8" t="s">
        <v>161</v>
      </c>
      <c r="F21" s="12" t="s">
        <v>120</v>
      </c>
      <c r="G21" s="12" t="s">
        <v>48</v>
      </c>
      <c r="H21" s="12" t="s">
        <v>28</v>
      </c>
      <c r="I21" s="12" t="s">
        <v>134</v>
      </c>
      <c r="J21" s="14">
        <v>1500.0</v>
      </c>
      <c r="K21" s="15">
        <v>46253.0</v>
      </c>
      <c r="L21" s="15">
        <v>46275.0</v>
      </c>
      <c r="M21" s="8" t="s">
        <v>66</v>
      </c>
    </row>
    <row r="22" ht="22.5" customHeight="1">
      <c r="A22" s="8" t="s">
        <v>163</v>
      </c>
      <c r="B22" s="8" t="s">
        <v>164</v>
      </c>
      <c r="C22" s="13" t="s">
        <v>165</v>
      </c>
      <c r="D22" s="8" t="s">
        <v>166</v>
      </c>
      <c r="E22" s="8" t="s">
        <v>167</v>
      </c>
      <c r="F22" s="12" t="s">
        <v>132</v>
      </c>
      <c r="G22" s="12" t="s">
        <v>27</v>
      </c>
      <c r="H22" s="12" t="s">
        <v>49</v>
      </c>
      <c r="I22" s="12" t="s">
        <v>29</v>
      </c>
      <c r="J22" s="14">
        <v>750.0</v>
      </c>
      <c r="K22" s="15">
        <v>46149.0</v>
      </c>
      <c r="L22" s="15">
        <v>46157.0</v>
      </c>
      <c r="M22" s="8" t="s">
        <v>66</v>
      </c>
    </row>
    <row r="23" ht="22.5" customHeight="1">
      <c r="A23" s="8" t="s">
        <v>169</v>
      </c>
      <c r="B23" s="8" t="s">
        <v>170</v>
      </c>
      <c r="C23" s="13" t="s">
        <v>171</v>
      </c>
      <c r="D23" s="8" t="s">
        <v>172</v>
      </c>
      <c r="E23" s="8" t="s">
        <v>173</v>
      </c>
      <c r="F23" s="12" t="s">
        <v>283</v>
      </c>
      <c r="G23" s="12" t="s">
        <v>57</v>
      </c>
      <c r="H23" s="12" t="s">
        <v>76</v>
      </c>
      <c r="I23" s="12" t="s">
        <v>65</v>
      </c>
      <c r="J23" s="14">
        <v>2500.0</v>
      </c>
      <c r="K23" s="15">
        <v>46033.0</v>
      </c>
      <c r="L23" s="15">
        <v>46069.0</v>
      </c>
      <c r="M23" s="8" t="s">
        <v>66</v>
      </c>
    </row>
    <row r="24" ht="22.5" customHeight="1">
      <c r="A24" s="8" t="s">
        <v>176</v>
      </c>
      <c r="B24" s="8" t="s">
        <v>177</v>
      </c>
      <c r="C24" s="13" t="s">
        <v>178</v>
      </c>
      <c r="E24" s="8" t="s">
        <v>179</v>
      </c>
      <c r="F24" s="12" t="s">
        <v>175</v>
      </c>
      <c r="G24" s="12" t="s">
        <v>48</v>
      </c>
      <c r="H24" s="12" t="s">
        <v>40</v>
      </c>
      <c r="I24" s="12" t="s">
        <v>134</v>
      </c>
      <c r="J24" s="14">
        <v>4500.0</v>
      </c>
      <c r="K24" s="15">
        <v>46032.0</v>
      </c>
      <c r="L24" s="15">
        <v>46068.0</v>
      </c>
    </row>
    <row r="25" ht="22.5" customHeight="1">
      <c r="A25" s="8" t="s">
        <v>180</v>
      </c>
      <c r="B25" s="8" t="s">
        <v>181</v>
      </c>
      <c r="C25" s="13" t="s">
        <v>182</v>
      </c>
      <c r="D25" s="8" t="s">
        <v>183</v>
      </c>
      <c r="E25" s="8" t="s">
        <v>184</v>
      </c>
      <c r="F25" s="12" t="s">
        <v>132</v>
      </c>
      <c r="G25" s="12" t="s">
        <v>27</v>
      </c>
      <c r="H25" s="12" t="s">
        <v>40</v>
      </c>
      <c r="I25" s="12" t="s">
        <v>50</v>
      </c>
      <c r="J25" s="14">
        <v>1500.0</v>
      </c>
      <c r="K25" s="15">
        <v>46253.0</v>
      </c>
      <c r="L25" s="15">
        <v>46286.0</v>
      </c>
      <c r="M25" s="8" t="s">
        <v>41</v>
      </c>
    </row>
    <row r="26" ht="22.5" customHeight="1">
      <c r="A26" s="8" t="s">
        <v>185</v>
      </c>
      <c r="B26" s="8" t="s">
        <v>186</v>
      </c>
      <c r="C26" s="13" t="s">
        <v>189</v>
      </c>
      <c r="E26" s="8" t="s">
        <v>190</v>
      </c>
      <c r="F26" s="12" t="s">
        <v>132</v>
      </c>
      <c r="G26" s="12" t="s">
        <v>39</v>
      </c>
      <c r="H26" s="12" t="s">
        <v>76</v>
      </c>
      <c r="I26" s="12" t="s">
        <v>65</v>
      </c>
      <c r="J26" s="14">
        <v>350.0</v>
      </c>
      <c r="K26" s="15">
        <v>46121.0</v>
      </c>
      <c r="L26" s="15">
        <v>46153.0</v>
      </c>
      <c r="M26" s="8" t="s">
        <v>107</v>
      </c>
    </row>
    <row r="27" ht="22.5" customHeight="1">
      <c r="A27" s="8" t="s">
        <v>191</v>
      </c>
      <c r="B27" s="8" t="s">
        <v>192</v>
      </c>
      <c r="C27" s="13" t="s">
        <v>193</v>
      </c>
      <c r="D27" s="8" t="s">
        <v>194</v>
      </c>
      <c r="E27" s="8" t="s">
        <v>195</v>
      </c>
      <c r="F27" s="12" t="s">
        <v>132</v>
      </c>
      <c r="G27" s="12" t="s">
        <v>57</v>
      </c>
      <c r="H27" s="12" t="s">
        <v>49</v>
      </c>
      <c r="I27" s="12" t="s">
        <v>65</v>
      </c>
      <c r="J27" s="14">
        <v>4500.0</v>
      </c>
      <c r="K27" s="15">
        <v>46206.0</v>
      </c>
      <c r="L27" s="15">
        <v>46206.0</v>
      </c>
      <c r="M27" s="8" t="s">
        <v>66</v>
      </c>
    </row>
    <row r="28" ht="22.5" customHeight="1">
      <c r="A28" s="8" t="s">
        <v>196</v>
      </c>
      <c r="B28" s="8" t="s">
        <v>197</v>
      </c>
      <c r="C28" s="13" t="s">
        <v>198</v>
      </c>
      <c r="D28" s="8" t="s">
        <v>199</v>
      </c>
      <c r="E28" s="8" t="s">
        <v>200</v>
      </c>
      <c r="F28" s="12" t="s">
        <v>201</v>
      </c>
      <c r="G28" s="12" t="s">
        <v>27</v>
      </c>
      <c r="H28" s="12" t="s">
        <v>49</v>
      </c>
      <c r="I28" s="12" t="s">
        <v>134</v>
      </c>
      <c r="J28" s="14">
        <v>3000.0</v>
      </c>
      <c r="K28" s="15">
        <v>46103.0</v>
      </c>
      <c r="L28" s="15">
        <v>46112.0</v>
      </c>
    </row>
    <row r="29" ht="22.5" customHeight="1">
      <c r="A29" s="8" t="s">
        <v>202</v>
      </c>
      <c r="B29" s="8" t="s">
        <v>203</v>
      </c>
      <c r="C29" s="13" t="s">
        <v>204</v>
      </c>
      <c r="F29" s="12" t="s">
        <v>38</v>
      </c>
      <c r="G29" s="12" t="s">
        <v>133</v>
      </c>
      <c r="H29" s="12" t="s">
        <v>76</v>
      </c>
      <c r="I29" s="12" t="s">
        <v>50</v>
      </c>
      <c r="J29" s="14">
        <v>2500.0</v>
      </c>
      <c r="K29" s="15">
        <v>46134.0</v>
      </c>
      <c r="L29" s="15">
        <v>46169.0</v>
      </c>
      <c r="M29" s="8" t="s">
        <v>66</v>
      </c>
    </row>
    <row r="30" ht="22.5" customHeight="1">
      <c r="A30" s="8" t="s">
        <v>206</v>
      </c>
      <c r="B30" s="8" t="s">
        <v>207</v>
      </c>
      <c r="C30" s="13" t="s">
        <v>208</v>
      </c>
      <c r="D30" s="8" t="s">
        <v>209</v>
      </c>
      <c r="E30" s="8" t="s">
        <v>210</v>
      </c>
      <c r="F30" s="12" t="s">
        <v>201</v>
      </c>
      <c r="G30" s="12" t="s">
        <v>133</v>
      </c>
      <c r="H30" s="12" t="s">
        <v>28</v>
      </c>
      <c r="I30" s="12" t="s">
        <v>77</v>
      </c>
      <c r="J30" s="14">
        <v>750.0</v>
      </c>
      <c r="K30" s="15">
        <v>46183.0</v>
      </c>
      <c r="L30" s="15">
        <v>46216.0</v>
      </c>
    </row>
    <row r="31" ht="22.5" customHeight="1">
      <c r="A31" s="8" t="s">
        <v>212</v>
      </c>
      <c r="B31" s="8" t="s">
        <v>213</v>
      </c>
      <c r="C31" s="13" t="s">
        <v>214</v>
      </c>
      <c r="E31" s="8" t="s">
        <v>215</v>
      </c>
      <c r="F31" s="12" t="s">
        <v>216</v>
      </c>
      <c r="G31" s="12" t="s">
        <v>27</v>
      </c>
      <c r="H31" s="12" t="s">
        <v>217</v>
      </c>
      <c r="I31" s="12" t="s">
        <v>50</v>
      </c>
      <c r="J31" s="14"/>
      <c r="K31" s="15">
        <v>46095.0</v>
      </c>
      <c r="L31" s="15">
        <v>46099.0</v>
      </c>
      <c r="M31" s="8" t="s">
        <v>66</v>
      </c>
    </row>
    <row r="32" ht="22.5" customHeight="1">
      <c r="A32" s="8" t="s">
        <v>218</v>
      </c>
      <c r="B32" s="8" t="s">
        <v>219</v>
      </c>
      <c r="C32" s="13" t="s">
        <v>221</v>
      </c>
      <c r="D32" s="8" t="s">
        <v>222</v>
      </c>
      <c r="E32" s="8" t="s">
        <v>223</v>
      </c>
      <c r="F32" s="12" t="s">
        <v>120</v>
      </c>
      <c r="G32" s="12" t="s">
        <v>27</v>
      </c>
      <c r="H32" s="12" t="s">
        <v>217</v>
      </c>
      <c r="I32" s="12" t="s">
        <v>65</v>
      </c>
      <c r="J32" s="14">
        <v>750.0</v>
      </c>
      <c r="K32" s="15">
        <v>46190.0</v>
      </c>
      <c r="L32" s="15">
        <v>46192.0</v>
      </c>
      <c r="M32" s="8" t="s">
        <v>41</v>
      </c>
    </row>
    <row r="33" ht="22.5" customHeight="1">
      <c r="A33" s="8" t="s">
        <v>224</v>
      </c>
      <c r="B33" s="8" t="s">
        <v>225</v>
      </c>
      <c r="C33" s="13" t="s">
        <v>226</v>
      </c>
      <c r="D33" s="8" t="s">
        <v>227</v>
      </c>
      <c r="E33" s="8" t="s">
        <v>228</v>
      </c>
      <c r="F33" s="12" t="s">
        <v>175</v>
      </c>
      <c r="G33" s="12" t="s">
        <v>57</v>
      </c>
      <c r="H33" s="12" t="s">
        <v>49</v>
      </c>
      <c r="I33" s="12" t="s">
        <v>65</v>
      </c>
      <c r="J33" s="14">
        <v>3000.0</v>
      </c>
      <c r="K33" s="15">
        <v>46030.0</v>
      </c>
      <c r="L33" s="15">
        <v>46052.0</v>
      </c>
      <c r="M33" s="8" t="s">
        <v>30</v>
      </c>
    </row>
    <row r="34" ht="22.5" customHeight="1">
      <c r="A34" s="8" t="s">
        <v>229</v>
      </c>
      <c r="B34" s="8" t="s">
        <v>230</v>
      </c>
      <c r="C34" s="13" t="s">
        <v>231</v>
      </c>
      <c r="D34" s="8" t="s">
        <v>232</v>
      </c>
      <c r="E34" s="8" t="s">
        <v>105</v>
      </c>
      <c r="F34" s="12" t="s">
        <v>283</v>
      </c>
      <c r="G34" s="12" t="s">
        <v>39</v>
      </c>
      <c r="H34" s="12" t="s">
        <v>76</v>
      </c>
      <c r="I34" s="12" t="s">
        <v>58</v>
      </c>
      <c r="J34" s="14">
        <v>500.0</v>
      </c>
      <c r="K34" s="15">
        <v>46092.0</v>
      </c>
      <c r="L34" s="15">
        <v>46135.0</v>
      </c>
    </row>
    <row r="35" ht="22.5" customHeight="1">
      <c r="A35" s="8" t="s">
        <v>233</v>
      </c>
      <c r="B35" s="8" t="s">
        <v>234</v>
      </c>
      <c r="C35" s="13" t="s">
        <v>235</v>
      </c>
      <c r="D35" s="8" t="s">
        <v>236</v>
      </c>
      <c r="E35" s="8" t="s">
        <v>237</v>
      </c>
      <c r="F35" s="12" t="s">
        <v>47</v>
      </c>
      <c r="G35" s="12" t="s">
        <v>27</v>
      </c>
      <c r="H35" s="12" t="s">
        <v>217</v>
      </c>
      <c r="I35" s="12" t="s">
        <v>77</v>
      </c>
      <c r="J35" s="14">
        <v>4500.0</v>
      </c>
      <c r="K35" s="15">
        <v>46035.0</v>
      </c>
      <c r="L35" s="15">
        <v>46080.0</v>
      </c>
      <c r="M35" s="8" t="s">
        <v>95</v>
      </c>
    </row>
    <row r="36" ht="22.5" customHeight="1">
      <c r="A36" s="8" t="s">
        <v>238</v>
      </c>
      <c r="B36" s="8" t="s">
        <v>239</v>
      </c>
      <c r="C36" s="13" t="s">
        <v>240</v>
      </c>
      <c r="D36" s="8" t="s">
        <v>241</v>
      </c>
      <c r="E36" s="8" t="s">
        <v>242</v>
      </c>
      <c r="F36" s="12" t="s">
        <v>38</v>
      </c>
      <c r="G36" s="12" t="s">
        <v>48</v>
      </c>
      <c r="H36" s="12" t="s">
        <v>217</v>
      </c>
      <c r="I36" s="12" t="s">
        <v>58</v>
      </c>
      <c r="J36" s="14">
        <v>3000.0</v>
      </c>
      <c r="K36" s="15">
        <v>46134.0</v>
      </c>
      <c r="L36" s="15">
        <v>46154.0</v>
      </c>
      <c r="M36" s="8" t="s">
        <v>41</v>
      </c>
    </row>
    <row r="37" ht="22.5" customHeight="1">
      <c r="A37" s="8" t="s">
        <v>243</v>
      </c>
      <c r="B37" s="8" t="s">
        <v>244</v>
      </c>
      <c r="C37" s="13" t="s">
        <v>245</v>
      </c>
      <c r="D37" s="8" t="s">
        <v>246</v>
      </c>
      <c r="E37" s="8" t="s">
        <v>247</v>
      </c>
      <c r="F37" s="12" t="s">
        <v>283</v>
      </c>
      <c r="G37" s="12" t="s">
        <v>106</v>
      </c>
      <c r="H37" s="12" t="s">
        <v>76</v>
      </c>
      <c r="I37" s="12" t="s">
        <v>77</v>
      </c>
      <c r="J37" s="14">
        <v>350.0</v>
      </c>
      <c r="K37" s="15">
        <v>46153.0</v>
      </c>
      <c r="L37" s="15">
        <v>46161.0</v>
      </c>
      <c r="M37" s="8" t="s">
        <v>107</v>
      </c>
    </row>
    <row r="38" ht="22.5" customHeight="1">
      <c r="A38" s="8" t="s">
        <v>249</v>
      </c>
      <c r="B38" s="8" t="s">
        <v>250</v>
      </c>
      <c r="C38" s="13" t="s">
        <v>251</v>
      </c>
      <c r="D38" s="8" t="s">
        <v>252</v>
      </c>
      <c r="F38" s="12" t="s">
        <v>283</v>
      </c>
      <c r="G38" s="12" t="s">
        <v>39</v>
      </c>
      <c r="H38" s="12" t="s">
        <v>40</v>
      </c>
      <c r="I38" s="12" t="s">
        <v>65</v>
      </c>
      <c r="J38" s="14">
        <v>350.0</v>
      </c>
      <c r="K38" s="15">
        <v>46090.0</v>
      </c>
      <c r="L38" s="15">
        <v>46090.0</v>
      </c>
      <c r="M38" s="8" t="s">
        <v>66</v>
      </c>
    </row>
    <row r="39" ht="22.5" customHeight="1">
      <c r="A39" s="8" t="s">
        <v>254</v>
      </c>
      <c r="B39" s="8" t="s">
        <v>255</v>
      </c>
      <c r="C39" s="13" t="s">
        <v>256</v>
      </c>
      <c r="D39" s="8" t="s">
        <v>258</v>
      </c>
      <c r="E39" s="8" t="s">
        <v>259</v>
      </c>
      <c r="F39" s="12" t="s">
        <v>175</v>
      </c>
      <c r="G39" s="12" t="s">
        <v>57</v>
      </c>
      <c r="H39" s="12" t="s">
        <v>40</v>
      </c>
      <c r="I39" s="12" t="s">
        <v>65</v>
      </c>
      <c r="J39" s="14">
        <v>2000.0</v>
      </c>
      <c r="K39" s="15">
        <v>46068.0</v>
      </c>
      <c r="L39" s="15">
        <v>46107.0</v>
      </c>
      <c r="M39" s="8" t="s">
        <v>95</v>
      </c>
    </row>
    <row r="40" ht="22.5" customHeight="1">
      <c r="A40" s="8" t="s">
        <v>261</v>
      </c>
      <c r="B40" s="8" t="s">
        <v>262</v>
      </c>
      <c r="C40" s="13" t="s">
        <v>264</v>
      </c>
      <c r="D40" s="8" t="s">
        <v>265</v>
      </c>
      <c r="E40" s="8" t="s">
        <v>266</v>
      </c>
      <c r="F40" s="12" t="s">
        <v>47</v>
      </c>
      <c r="G40" s="12" t="s">
        <v>133</v>
      </c>
      <c r="H40" s="12" t="s">
        <v>40</v>
      </c>
      <c r="I40" s="12" t="s">
        <v>77</v>
      </c>
      <c r="J40" s="14">
        <v>350.0</v>
      </c>
      <c r="K40" s="15">
        <v>46116.0</v>
      </c>
      <c r="L40" s="15"/>
      <c r="M40" s="8" t="s">
        <v>95</v>
      </c>
    </row>
    <row r="41" ht="22.5" customHeight="1">
      <c r="A41" s="8" t="s">
        <v>267</v>
      </c>
      <c r="B41" s="8" t="s">
        <v>268</v>
      </c>
      <c r="C41" s="13" t="s">
        <v>269</v>
      </c>
      <c r="D41" s="8" t="s">
        <v>270</v>
      </c>
      <c r="E41" s="8" t="s">
        <v>237</v>
      </c>
      <c r="F41" s="12" t="s">
        <v>120</v>
      </c>
      <c r="G41" s="12" t="s">
        <v>57</v>
      </c>
      <c r="H41" s="12" t="s">
        <v>76</v>
      </c>
      <c r="I41" s="12" t="s">
        <v>134</v>
      </c>
      <c r="J41" s="14">
        <v>4500.0</v>
      </c>
      <c r="K41" s="15">
        <v>46155.0</v>
      </c>
      <c r="L41" s="15">
        <v>46174.0</v>
      </c>
      <c r="M41" s="8" t="s">
        <v>30</v>
      </c>
    </row>
    <row r="42" ht="22.5" customHeight="1">
      <c r="A42" s="8" t="s">
        <v>273</v>
      </c>
      <c r="B42" s="8" t="s">
        <v>274</v>
      </c>
      <c r="C42" s="13" t="s">
        <v>275</v>
      </c>
      <c r="D42" s="8" t="s">
        <v>276</v>
      </c>
      <c r="E42" s="8" t="s">
        <v>277</v>
      </c>
      <c r="F42" s="12" t="s">
        <v>38</v>
      </c>
      <c r="G42" s="12" t="s">
        <v>48</v>
      </c>
      <c r="H42" s="12" t="s">
        <v>76</v>
      </c>
      <c r="I42" s="12" t="s">
        <v>58</v>
      </c>
      <c r="J42" s="14">
        <v>900.0</v>
      </c>
      <c r="K42" s="15">
        <v>46264.0</v>
      </c>
      <c r="L42" s="15">
        <v>46289.0</v>
      </c>
      <c r="M42" s="8" t="s">
        <v>107</v>
      </c>
    </row>
    <row r="43" ht="22.5" customHeight="1">
      <c r="A43" s="8" t="s">
        <v>278</v>
      </c>
      <c r="B43" s="8" t="s">
        <v>279</v>
      </c>
      <c r="C43" s="13" t="s">
        <v>280</v>
      </c>
      <c r="D43" s="8" t="s">
        <v>281</v>
      </c>
      <c r="E43" s="8" t="s">
        <v>282</v>
      </c>
      <c r="F43" s="12" t="s">
        <v>283</v>
      </c>
      <c r="G43" s="12" t="s">
        <v>106</v>
      </c>
      <c r="H43" s="12" t="s">
        <v>76</v>
      </c>
      <c r="I43" s="12" t="s">
        <v>29</v>
      </c>
      <c r="J43" s="14">
        <v>1500.0</v>
      </c>
      <c r="K43" s="15">
        <v>46053.0</v>
      </c>
      <c r="L43" s="15">
        <v>46068.0</v>
      </c>
      <c r="M43" s="8" t="s">
        <v>66</v>
      </c>
    </row>
    <row r="44" ht="22.5" customHeight="1">
      <c r="A44" s="8" t="s">
        <v>284</v>
      </c>
      <c r="B44" s="8" t="s">
        <v>285</v>
      </c>
      <c r="C44" s="13" t="s">
        <v>286</v>
      </c>
      <c r="D44" s="8" t="s">
        <v>287</v>
      </c>
      <c r="E44" s="8" t="s">
        <v>288</v>
      </c>
      <c r="F44" s="12" t="s">
        <v>283</v>
      </c>
      <c r="G44" s="12" t="s">
        <v>48</v>
      </c>
      <c r="H44" s="12" t="s">
        <v>28</v>
      </c>
      <c r="I44" s="12" t="s">
        <v>77</v>
      </c>
      <c r="J44" s="14">
        <v>2000.0</v>
      </c>
      <c r="K44" s="15">
        <v>46259.0</v>
      </c>
      <c r="L44" s="15">
        <v>46298.0</v>
      </c>
      <c r="M44" s="8" t="s">
        <v>41</v>
      </c>
    </row>
    <row r="45" ht="22.5" customHeight="1">
      <c r="A45" s="8" t="s">
        <v>289</v>
      </c>
      <c r="B45" s="8" t="s">
        <v>290</v>
      </c>
      <c r="C45" s="13" t="s">
        <v>291</v>
      </c>
      <c r="D45" s="8" t="s">
        <v>292</v>
      </c>
      <c r="E45" s="8" t="s">
        <v>293</v>
      </c>
      <c r="F45" s="12" t="s">
        <v>283</v>
      </c>
      <c r="G45" s="12" t="s">
        <v>48</v>
      </c>
      <c r="H45" s="12" t="s">
        <v>28</v>
      </c>
      <c r="I45" s="12" t="s">
        <v>134</v>
      </c>
      <c r="J45" s="14">
        <v>1500.0</v>
      </c>
      <c r="K45" s="15">
        <v>46043.0</v>
      </c>
      <c r="L45" s="15">
        <v>46059.0</v>
      </c>
      <c r="M45" s="8" t="s">
        <v>30</v>
      </c>
    </row>
    <row r="46" ht="22.5" customHeight="1">
      <c r="A46" s="8" t="s">
        <v>294</v>
      </c>
      <c r="B46" s="8" t="s">
        <v>295</v>
      </c>
      <c r="C46" s="13" t="s">
        <v>296</v>
      </c>
      <c r="E46" s="8" t="s">
        <v>242</v>
      </c>
      <c r="F46" s="12" t="s">
        <v>120</v>
      </c>
      <c r="G46" s="12" t="s">
        <v>39</v>
      </c>
      <c r="H46" s="12" t="s">
        <v>49</v>
      </c>
      <c r="I46" s="12" t="s">
        <v>77</v>
      </c>
      <c r="J46" s="14">
        <v>1500.0</v>
      </c>
      <c r="K46" s="15">
        <v>46173.0</v>
      </c>
      <c r="L46" s="15">
        <v>46174.0</v>
      </c>
      <c r="M46" s="8" t="s">
        <v>41</v>
      </c>
    </row>
    <row r="47" ht="22.5" customHeight="1">
      <c r="A47" s="8" t="s">
        <v>299</v>
      </c>
      <c r="B47" s="8" t="s">
        <v>300</v>
      </c>
      <c r="C47" s="13" t="s">
        <v>301</v>
      </c>
      <c r="E47" s="8" t="s">
        <v>303</v>
      </c>
      <c r="F47" s="12" t="s">
        <v>132</v>
      </c>
      <c r="G47" s="12" t="s">
        <v>106</v>
      </c>
      <c r="H47" s="12" t="s">
        <v>40</v>
      </c>
      <c r="I47" s="12" t="s">
        <v>134</v>
      </c>
      <c r="J47" s="14">
        <v>1200.0</v>
      </c>
      <c r="K47" s="15">
        <v>46187.0</v>
      </c>
      <c r="L47" s="15">
        <v>46204.0</v>
      </c>
    </row>
    <row r="48" ht="22.5" customHeight="1">
      <c r="A48" s="8" t="s">
        <v>308</v>
      </c>
      <c r="B48" s="8" t="s">
        <v>309</v>
      </c>
      <c r="C48" s="13" t="s">
        <v>310</v>
      </c>
      <c r="D48" s="8" t="s">
        <v>311</v>
      </c>
      <c r="E48" s="8" t="s">
        <v>131</v>
      </c>
      <c r="F48" s="12" t="s">
        <v>38</v>
      </c>
      <c r="G48" s="12" t="s">
        <v>39</v>
      </c>
      <c r="H48" s="12" t="s">
        <v>76</v>
      </c>
      <c r="I48" s="12" t="s">
        <v>77</v>
      </c>
      <c r="J48" s="14">
        <v>4500.0</v>
      </c>
      <c r="K48" s="15">
        <v>46244.0</v>
      </c>
      <c r="L48" s="15"/>
      <c r="M48" s="8" t="s">
        <v>41</v>
      </c>
    </row>
    <row r="49" ht="22.5" customHeight="1">
      <c r="A49" s="8" t="s">
        <v>314</v>
      </c>
      <c r="B49" s="8" t="s">
        <v>315</v>
      </c>
      <c r="C49" s="13" t="s">
        <v>316</v>
      </c>
      <c r="D49" s="8" t="s">
        <v>317</v>
      </c>
      <c r="E49" s="8" t="s">
        <v>318</v>
      </c>
      <c r="F49" s="12" t="s">
        <v>220</v>
      </c>
      <c r="G49" s="12" t="s">
        <v>39</v>
      </c>
      <c r="H49" s="12" t="s">
        <v>217</v>
      </c>
      <c r="I49" s="12" t="s">
        <v>50</v>
      </c>
      <c r="J49" s="14">
        <v>750.0</v>
      </c>
      <c r="K49" s="15">
        <v>46260.0</v>
      </c>
      <c r="L49" s="15">
        <v>46289.0</v>
      </c>
      <c r="M49" s="8" t="s">
        <v>41</v>
      </c>
    </row>
    <row r="50" ht="22.5" customHeight="1">
      <c r="A50" s="8" t="s">
        <v>319</v>
      </c>
      <c r="B50" s="8" t="s">
        <v>320</v>
      </c>
      <c r="C50" s="13" t="s">
        <v>322</v>
      </c>
      <c r="D50" s="8" t="s">
        <v>323</v>
      </c>
      <c r="E50" s="8" t="s">
        <v>325</v>
      </c>
      <c r="F50" s="12" t="s">
        <v>132</v>
      </c>
      <c r="G50" s="12" t="s">
        <v>106</v>
      </c>
      <c r="H50" s="12" t="s">
        <v>40</v>
      </c>
      <c r="I50" s="12" t="s">
        <v>58</v>
      </c>
      <c r="J50" s="14"/>
      <c r="K50" s="15">
        <v>46259.0</v>
      </c>
      <c r="L50" s="15">
        <v>46274.0</v>
      </c>
      <c r="M50" s="8" t="s">
        <v>66</v>
      </c>
    </row>
    <row r="51" ht="22.5" customHeight="1">
      <c r="A51" s="8" t="s">
        <v>326</v>
      </c>
      <c r="B51" s="8" t="s">
        <v>327</v>
      </c>
      <c r="C51" s="13" t="s">
        <v>328</v>
      </c>
      <c r="D51" s="8" t="s">
        <v>331</v>
      </c>
      <c r="E51" s="8" t="s">
        <v>332</v>
      </c>
      <c r="F51" s="12" t="s">
        <v>175</v>
      </c>
      <c r="G51" s="12" t="s">
        <v>57</v>
      </c>
      <c r="H51" s="12" t="s">
        <v>28</v>
      </c>
      <c r="I51" s="12" t="s">
        <v>29</v>
      </c>
      <c r="J51" s="14">
        <v>1200.0</v>
      </c>
      <c r="K51" s="15">
        <v>46158.0</v>
      </c>
      <c r="L51" s="15">
        <v>46171.0</v>
      </c>
      <c r="M51" s="8" t="s">
        <v>95</v>
      </c>
    </row>
    <row r="52" ht="22.5" customHeight="1">
      <c r="A52" s="8" t="s">
        <v>335</v>
      </c>
      <c r="B52" s="8" t="s">
        <v>336</v>
      </c>
      <c r="C52" s="13" t="s">
        <v>337</v>
      </c>
      <c r="D52" s="8" t="s">
        <v>338</v>
      </c>
      <c r="E52" s="8" t="s">
        <v>339</v>
      </c>
      <c r="F52" s="12" t="s">
        <v>201</v>
      </c>
      <c r="G52" s="12" t="s">
        <v>48</v>
      </c>
      <c r="H52" s="12" t="s">
        <v>217</v>
      </c>
      <c r="I52" s="12" t="s">
        <v>58</v>
      </c>
      <c r="J52" s="14">
        <v>900.0</v>
      </c>
      <c r="K52" s="15">
        <v>46029.0</v>
      </c>
      <c r="L52" s="15">
        <v>46064.0</v>
      </c>
      <c r="M52" s="8" t="s">
        <v>30</v>
      </c>
    </row>
    <row r="53" ht="22.5" customHeight="1">
      <c r="A53" s="8" t="s">
        <v>341</v>
      </c>
      <c r="B53" s="8" t="s">
        <v>342</v>
      </c>
      <c r="C53" s="13" t="s">
        <v>343</v>
      </c>
      <c r="D53" s="8" t="s">
        <v>346</v>
      </c>
      <c r="E53" s="8" t="s">
        <v>347</v>
      </c>
      <c r="F53" s="12" t="s">
        <v>47</v>
      </c>
      <c r="G53" s="12" t="s">
        <v>133</v>
      </c>
      <c r="H53" s="12" t="s">
        <v>49</v>
      </c>
      <c r="I53" s="12" t="s">
        <v>134</v>
      </c>
      <c r="J53" s="14">
        <v>2000.0</v>
      </c>
      <c r="K53" s="15">
        <v>46264.0</v>
      </c>
      <c r="L53" s="15"/>
      <c r="M53" s="8" t="s">
        <v>107</v>
      </c>
    </row>
    <row r="54" ht="22.5" customHeight="1">
      <c r="A54" s="8" t="s">
        <v>349</v>
      </c>
      <c r="B54" s="8" t="s">
        <v>128</v>
      </c>
      <c r="C54" s="13" t="s">
        <v>350</v>
      </c>
      <c r="D54" s="8" t="s">
        <v>355</v>
      </c>
      <c r="E54" s="8" t="s">
        <v>282</v>
      </c>
      <c r="F54" s="12" t="s">
        <v>132</v>
      </c>
      <c r="G54" s="12" t="s">
        <v>57</v>
      </c>
      <c r="H54" s="12" t="s">
        <v>217</v>
      </c>
      <c r="I54" s="12" t="s">
        <v>77</v>
      </c>
      <c r="J54" s="14">
        <v>4500.0</v>
      </c>
      <c r="K54" s="15">
        <v>46135.0</v>
      </c>
      <c r="L54" s="15">
        <v>46172.0</v>
      </c>
      <c r="M54" s="8" t="s">
        <v>107</v>
      </c>
    </row>
    <row r="55" ht="22.5" customHeight="1">
      <c r="A55" s="8" t="s">
        <v>356</v>
      </c>
      <c r="B55" s="8" t="s">
        <v>357</v>
      </c>
      <c r="C55" s="13" t="s">
        <v>358</v>
      </c>
      <c r="D55" s="8" t="s">
        <v>359</v>
      </c>
      <c r="E55" s="8" t="s">
        <v>360</v>
      </c>
      <c r="F55" s="12" t="s">
        <v>201</v>
      </c>
      <c r="G55" s="12" t="s">
        <v>27</v>
      </c>
      <c r="H55" s="12" t="s">
        <v>40</v>
      </c>
      <c r="I55" s="12" t="s">
        <v>50</v>
      </c>
      <c r="J55" s="14">
        <v>4500.0</v>
      </c>
      <c r="K55" s="15">
        <v>46066.0</v>
      </c>
      <c r="L55" s="15">
        <v>46107.0</v>
      </c>
      <c r="M55" s="8" t="s">
        <v>41</v>
      </c>
    </row>
    <row r="56" ht="22.5" customHeight="1">
      <c r="A56" s="8" t="s">
        <v>363</v>
      </c>
      <c r="B56" s="8" t="s">
        <v>364</v>
      </c>
      <c r="C56" s="13" t="s">
        <v>365</v>
      </c>
      <c r="D56" s="8" t="s">
        <v>366</v>
      </c>
      <c r="E56" s="8" t="s">
        <v>367</v>
      </c>
      <c r="F56" s="12" t="s">
        <v>283</v>
      </c>
      <c r="G56" s="12" t="s">
        <v>106</v>
      </c>
      <c r="H56" s="12" t="s">
        <v>40</v>
      </c>
      <c r="I56" s="12" t="s">
        <v>77</v>
      </c>
      <c r="J56" s="14">
        <v>1200.0</v>
      </c>
      <c r="K56" s="15">
        <v>46255.0</v>
      </c>
      <c r="L56" s="15">
        <v>46290.0</v>
      </c>
      <c r="M56" s="8" t="s">
        <v>41</v>
      </c>
    </row>
    <row r="57" ht="22.5" customHeight="1">
      <c r="A57" s="8" t="s">
        <v>368</v>
      </c>
      <c r="B57" s="8" t="s">
        <v>369</v>
      </c>
      <c r="C57" s="13" t="s">
        <v>370</v>
      </c>
      <c r="D57" s="8" t="s">
        <v>371</v>
      </c>
      <c r="E57" s="8" t="s">
        <v>156</v>
      </c>
      <c r="F57" s="12" t="s">
        <v>283</v>
      </c>
      <c r="G57" s="12" t="s">
        <v>57</v>
      </c>
      <c r="H57" s="12" t="s">
        <v>49</v>
      </c>
      <c r="I57" s="12" t="s">
        <v>77</v>
      </c>
      <c r="J57" s="14">
        <v>500.0</v>
      </c>
      <c r="K57" s="15">
        <v>46216.0</v>
      </c>
      <c r="L57" s="15">
        <v>46239.0</v>
      </c>
    </row>
    <row r="58" ht="22.5" customHeight="1">
      <c r="A58" s="8" t="s">
        <v>372</v>
      </c>
      <c r="B58" s="8" t="s">
        <v>373</v>
      </c>
      <c r="C58" s="13" t="s">
        <v>374</v>
      </c>
      <c r="D58" s="8" t="s">
        <v>375</v>
      </c>
      <c r="E58" s="8" t="s">
        <v>376</v>
      </c>
      <c r="F58" s="12" t="s">
        <v>120</v>
      </c>
      <c r="G58" s="12" t="s">
        <v>48</v>
      </c>
      <c r="H58" s="12" t="s">
        <v>76</v>
      </c>
      <c r="I58" s="12" t="s">
        <v>58</v>
      </c>
      <c r="J58" s="14">
        <v>350.0</v>
      </c>
      <c r="K58" s="15">
        <v>46191.0</v>
      </c>
      <c r="L58" s="15">
        <v>46214.0</v>
      </c>
    </row>
    <row r="59" ht="22.5" customHeight="1">
      <c r="A59" s="8" t="s">
        <v>377</v>
      </c>
      <c r="B59" s="8" t="s">
        <v>327</v>
      </c>
      <c r="C59" s="13" t="s">
        <v>380</v>
      </c>
      <c r="D59" s="8" t="s">
        <v>381</v>
      </c>
      <c r="E59" s="8" t="s">
        <v>382</v>
      </c>
      <c r="F59" s="12" t="s">
        <v>201</v>
      </c>
      <c r="G59" s="12" t="s">
        <v>27</v>
      </c>
      <c r="H59" s="12" t="s">
        <v>49</v>
      </c>
      <c r="I59" s="12" t="s">
        <v>50</v>
      </c>
      <c r="J59" s="14">
        <v>2000.0</v>
      </c>
      <c r="K59" s="15">
        <v>46230.0</v>
      </c>
      <c r="L59" s="15">
        <v>46274.0</v>
      </c>
      <c r="M59" s="8" t="s">
        <v>66</v>
      </c>
    </row>
    <row r="60" ht="22.5" customHeight="1">
      <c r="A60" s="8" t="s">
        <v>383</v>
      </c>
      <c r="B60" s="8" t="s">
        <v>384</v>
      </c>
      <c r="C60" s="13" t="s">
        <v>385</v>
      </c>
      <c r="D60" s="8" t="s">
        <v>386</v>
      </c>
      <c r="E60" s="8" t="s">
        <v>387</v>
      </c>
      <c r="F60" s="12" t="s">
        <v>132</v>
      </c>
      <c r="G60" s="12" t="s">
        <v>133</v>
      </c>
      <c r="H60" s="12" t="s">
        <v>217</v>
      </c>
      <c r="I60" s="12" t="s">
        <v>29</v>
      </c>
      <c r="J60" s="14">
        <v>2500.0</v>
      </c>
      <c r="K60" s="15">
        <v>46246.0</v>
      </c>
      <c r="L60" s="15">
        <v>46282.0</v>
      </c>
      <c r="M60" s="8" t="s">
        <v>30</v>
      </c>
    </row>
    <row r="61" ht="22.5" customHeight="1">
      <c r="A61" s="8" t="s">
        <v>388</v>
      </c>
      <c r="B61" s="8" t="s">
        <v>389</v>
      </c>
      <c r="C61" s="13" t="s">
        <v>390</v>
      </c>
      <c r="D61" s="8" t="s">
        <v>391</v>
      </c>
      <c r="E61" s="8" t="s">
        <v>392</v>
      </c>
      <c r="F61" s="12" t="s">
        <v>38</v>
      </c>
      <c r="G61" s="12" t="s">
        <v>27</v>
      </c>
      <c r="H61" s="12" t="s">
        <v>28</v>
      </c>
      <c r="I61" s="12" t="s">
        <v>77</v>
      </c>
      <c r="J61" s="14">
        <v>2000.0</v>
      </c>
      <c r="K61" s="15">
        <v>46116.0</v>
      </c>
      <c r="L61" s="15">
        <v>46132.0</v>
      </c>
      <c r="M61" s="8" t="s">
        <v>41</v>
      </c>
    </row>
    <row r="62" ht="22.5" customHeight="1">
      <c r="A62" s="8" t="s">
        <v>393</v>
      </c>
      <c r="B62" s="8" t="s">
        <v>394</v>
      </c>
      <c r="C62" s="52"/>
      <c r="D62" s="8" t="s">
        <v>395</v>
      </c>
      <c r="E62" s="8" t="s">
        <v>131</v>
      </c>
      <c r="F62" s="12" t="s">
        <v>132</v>
      </c>
      <c r="G62" s="12" t="s">
        <v>27</v>
      </c>
      <c r="H62" s="12" t="s">
        <v>49</v>
      </c>
      <c r="I62" s="12" t="s">
        <v>77</v>
      </c>
      <c r="J62" s="14">
        <v>900.0</v>
      </c>
      <c r="K62" s="15">
        <v>46230.0</v>
      </c>
      <c r="L62" s="15">
        <v>46248.0</v>
      </c>
    </row>
    <row r="63" ht="22.5" customHeight="1">
      <c r="A63" s="8" t="s">
        <v>396</v>
      </c>
      <c r="B63" s="8" t="s">
        <v>397</v>
      </c>
      <c r="C63" s="13" t="s">
        <v>398</v>
      </c>
      <c r="D63" s="8" t="s">
        <v>399</v>
      </c>
      <c r="E63" s="8" t="s">
        <v>400</v>
      </c>
      <c r="F63" s="12" t="s">
        <v>175</v>
      </c>
      <c r="G63" s="12" t="s">
        <v>106</v>
      </c>
      <c r="H63" s="12" t="s">
        <v>217</v>
      </c>
      <c r="I63" s="12" t="s">
        <v>58</v>
      </c>
      <c r="J63" s="14">
        <v>350.0</v>
      </c>
      <c r="K63" s="15">
        <v>46261.0</v>
      </c>
      <c r="L63" s="15"/>
      <c r="M63" s="8" t="s">
        <v>30</v>
      </c>
    </row>
    <row r="64" ht="22.5" customHeight="1">
      <c r="A64" s="8" t="s">
        <v>401</v>
      </c>
      <c r="B64" s="8" t="s">
        <v>402</v>
      </c>
      <c r="C64" s="13" t="s">
        <v>403</v>
      </c>
      <c r="D64" s="8" t="s">
        <v>404</v>
      </c>
      <c r="E64" s="8" t="s">
        <v>405</v>
      </c>
      <c r="F64" s="12" t="s">
        <v>38</v>
      </c>
      <c r="G64" s="12" t="s">
        <v>57</v>
      </c>
      <c r="H64" s="12" t="s">
        <v>76</v>
      </c>
      <c r="I64" s="12" t="s">
        <v>65</v>
      </c>
      <c r="J64" s="14">
        <v>2500.0</v>
      </c>
      <c r="K64" s="15">
        <v>46097.0</v>
      </c>
      <c r="L64" s="15">
        <v>46104.0</v>
      </c>
      <c r="M64" s="8" t="s">
        <v>30</v>
      </c>
    </row>
    <row r="65" ht="22.5" customHeight="1">
      <c r="A65" s="8" t="s">
        <v>406</v>
      </c>
      <c r="B65" s="8" t="s">
        <v>407</v>
      </c>
      <c r="C65" s="13" t="s">
        <v>408</v>
      </c>
      <c r="D65" s="8" t="s">
        <v>409</v>
      </c>
      <c r="E65" s="8" t="s">
        <v>293</v>
      </c>
      <c r="F65" s="12" t="s">
        <v>47</v>
      </c>
      <c r="G65" s="12" t="s">
        <v>48</v>
      </c>
      <c r="H65" s="12" t="s">
        <v>28</v>
      </c>
      <c r="I65" s="12" t="s">
        <v>77</v>
      </c>
      <c r="J65" s="14">
        <v>350.0</v>
      </c>
      <c r="K65" s="15">
        <v>46209.0</v>
      </c>
      <c r="L65" s="15">
        <v>46253.0</v>
      </c>
      <c r="M65" s="8" t="s">
        <v>41</v>
      </c>
    </row>
    <row r="66" ht="22.5" customHeight="1">
      <c r="A66" s="8" t="s">
        <v>410</v>
      </c>
      <c r="B66" s="8" t="s">
        <v>411</v>
      </c>
      <c r="C66" s="13" t="s">
        <v>412</v>
      </c>
      <c r="D66" s="8" t="s">
        <v>413</v>
      </c>
      <c r="E66" s="8" t="s">
        <v>414</v>
      </c>
      <c r="F66" s="12" t="s">
        <v>132</v>
      </c>
      <c r="G66" s="12" t="s">
        <v>133</v>
      </c>
      <c r="H66" s="12" t="s">
        <v>76</v>
      </c>
      <c r="I66" s="12" t="s">
        <v>58</v>
      </c>
      <c r="J66" s="14">
        <v>3000.0</v>
      </c>
      <c r="K66" s="15">
        <v>46239.0</v>
      </c>
      <c r="L66" s="15">
        <v>46255.0</v>
      </c>
      <c r="M66" s="8" t="s">
        <v>66</v>
      </c>
    </row>
    <row r="67" ht="22.5" customHeight="1">
      <c r="A67" s="8" t="s">
        <v>415</v>
      </c>
      <c r="B67" s="8" t="s">
        <v>416</v>
      </c>
      <c r="C67" s="13" t="s">
        <v>417</v>
      </c>
      <c r="D67" s="8" t="s">
        <v>418</v>
      </c>
      <c r="E67" s="8" t="s">
        <v>419</v>
      </c>
      <c r="F67" s="12" t="s">
        <v>47</v>
      </c>
      <c r="G67" s="12" t="s">
        <v>106</v>
      </c>
      <c r="H67" s="12" t="s">
        <v>76</v>
      </c>
      <c r="I67" s="12" t="s">
        <v>29</v>
      </c>
      <c r="J67" s="14">
        <v>1200.0</v>
      </c>
      <c r="K67" s="15">
        <v>46239.0</v>
      </c>
      <c r="L67" s="15">
        <v>46261.0</v>
      </c>
      <c r="M67" s="8" t="s">
        <v>95</v>
      </c>
    </row>
    <row r="68" ht="22.5" customHeight="1">
      <c r="A68" s="8" t="s">
        <v>420</v>
      </c>
      <c r="B68" s="8" t="s">
        <v>421</v>
      </c>
      <c r="C68" s="13" t="s">
        <v>422</v>
      </c>
      <c r="D68" s="8" t="s">
        <v>423</v>
      </c>
      <c r="E68" s="8" t="s">
        <v>424</v>
      </c>
      <c r="F68" s="12" t="s">
        <v>38</v>
      </c>
      <c r="G68" s="12" t="s">
        <v>133</v>
      </c>
      <c r="H68" s="12" t="s">
        <v>28</v>
      </c>
      <c r="I68" s="12" t="s">
        <v>65</v>
      </c>
      <c r="J68" s="14">
        <v>2000.0</v>
      </c>
      <c r="K68" s="15">
        <v>46162.0</v>
      </c>
      <c r="L68" s="15">
        <v>46178.0</v>
      </c>
      <c r="M68" s="8" t="s">
        <v>30</v>
      </c>
    </row>
    <row r="69" ht="22.5" customHeight="1">
      <c r="A69" s="8" t="s">
        <v>425</v>
      </c>
      <c r="B69" s="8" t="s">
        <v>426</v>
      </c>
      <c r="C69" s="13" t="s">
        <v>427</v>
      </c>
      <c r="D69" s="8" t="s">
        <v>428</v>
      </c>
      <c r="E69" s="8" t="s">
        <v>429</v>
      </c>
      <c r="F69" s="12" t="s">
        <v>120</v>
      </c>
      <c r="G69" s="12" t="s">
        <v>39</v>
      </c>
      <c r="H69" s="12" t="s">
        <v>217</v>
      </c>
      <c r="I69" s="12" t="s">
        <v>65</v>
      </c>
      <c r="J69" s="14">
        <v>3000.0</v>
      </c>
      <c r="K69" s="15">
        <v>46031.0</v>
      </c>
      <c r="L69" s="15">
        <v>46043.0</v>
      </c>
      <c r="M69" s="8" t="s">
        <v>95</v>
      </c>
    </row>
    <row r="70" ht="22.5" customHeight="1">
      <c r="A70" s="8" t="s">
        <v>431</v>
      </c>
      <c r="B70" s="8" t="s">
        <v>432</v>
      </c>
      <c r="C70" s="13" t="s">
        <v>433</v>
      </c>
      <c r="D70" s="8" t="s">
        <v>434</v>
      </c>
      <c r="F70" s="12" t="s">
        <v>47</v>
      </c>
      <c r="G70" s="12" t="s">
        <v>133</v>
      </c>
      <c r="H70" s="12" t="s">
        <v>28</v>
      </c>
      <c r="I70" s="12" t="s">
        <v>134</v>
      </c>
      <c r="J70" s="14">
        <v>2500.0</v>
      </c>
      <c r="K70" s="15">
        <v>46125.0</v>
      </c>
      <c r="L70" s="15">
        <v>46150.0</v>
      </c>
      <c r="M70" s="8" t="s">
        <v>30</v>
      </c>
    </row>
    <row r="71" ht="22.5" customHeight="1">
      <c r="A71" s="8" t="s">
        <v>435</v>
      </c>
      <c r="B71" s="8" t="s">
        <v>436</v>
      </c>
      <c r="C71" s="13" t="s">
        <v>437</v>
      </c>
      <c r="D71" s="8" t="s">
        <v>438</v>
      </c>
      <c r="E71" s="8" t="s">
        <v>439</v>
      </c>
      <c r="F71" s="12" t="s">
        <v>220</v>
      </c>
      <c r="G71" s="12" t="s">
        <v>133</v>
      </c>
      <c r="H71" s="12" t="s">
        <v>40</v>
      </c>
      <c r="I71" s="12" t="s">
        <v>65</v>
      </c>
      <c r="J71" s="14">
        <v>350.0</v>
      </c>
      <c r="K71" s="15">
        <v>46223.0</v>
      </c>
      <c r="L71" s="15">
        <v>46248.0</v>
      </c>
      <c r="M71" s="8" t="s">
        <v>30</v>
      </c>
    </row>
    <row r="72" ht="22.5" customHeight="1">
      <c r="A72" s="8" t="s">
        <v>440</v>
      </c>
      <c r="B72" s="8" t="s">
        <v>441</v>
      </c>
      <c r="C72" s="13" t="s">
        <v>442</v>
      </c>
      <c r="E72" s="8" t="s">
        <v>443</v>
      </c>
      <c r="F72" s="12" t="s">
        <v>216</v>
      </c>
      <c r="G72" s="12" t="s">
        <v>39</v>
      </c>
      <c r="H72" s="12" t="s">
        <v>28</v>
      </c>
      <c r="I72" s="12" t="s">
        <v>29</v>
      </c>
      <c r="J72" s="14">
        <v>4500.0</v>
      </c>
      <c r="K72" s="15">
        <v>46085.0</v>
      </c>
      <c r="L72" s="15">
        <v>46117.0</v>
      </c>
      <c r="M72" s="8" t="s">
        <v>107</v>
      </c>
    </row>
    <row r="73" ht="22.5" customHeight="1">
      <c r="A73" s="8" t="s">
        <v>444</v>
      </c>
      <c r="B73" s="8" t="s">
        <v>445</v>
      </c>
      <c r="C73" s="13" t="s">
        <v>446</v>
      </c>
      <c r="D73" s="8" t="s">
        <v>447</v>
      </c>
      <c r="E73" s="8" t="s">
        <v>448</v>
      </c>
      <c r="F73" s="12" t="s">
        <v>283</v>
      </c>
      <c r="G73" s="12" t="s">
        <v>48</v>
      </c>
      <c r="H73" s="12" t="s">
        <v>76</v>
      </c>
      <c r="I73" s="12" t="s">
        <v>50</v>
      </c>
      <c r="J73" s="14">
        <v>2000.0</v>
      </c>
      <c r="K73" s="15">
        <v>46197.0</v>
      </c>
      <c r="L73" s="15">
        <v>46199.0</v>
      </c>
      <c r="M73" s="8" t="s">
        <v>41</v>
      </c>
    </row>
    <row r="74" ht="22.5" customHeight="1">
      <c r="A74" s="8" t="s">
        <v>449</v>
      </c>
      <c r="B74" s="8" t="s">
        <v>450</v>
      </c>
      <c r="C74" s="13" t="s">
        <v>451</v>
      </c>
      <c r="D74" s="8" t="s">
        <v>452</v>
      </c>
      <c r="E74" s="8" t="s">
        <v>453</v>
      </c>
      <c r="F74" s="12" t="s">
        <v>1027</v>
      </c>
      <c r="G74" s="12" t="s">
        <v>27</v>
      </c>
      <c r="H74" s="12" t="s">
        <v>40</v>
      </c>
      <c r="I74" s="12" t="s">
        <v>58</v>
      </c>
      <c r="J74" s="14">
        <v>500.0</v>
      </c>
      <c r="K74" s="15">
        <v>46150.0</v>
      </c>
      <c r="L74" s="15">
        <v>46194.0</v>
      </c>
      <c r="M74" s="8" t="s">
        <v>95</v>
      </c>
    </row>
    <row r="75" ht="22.5" customHeight="1">
      <c r="A75" s="8" t="s">
        <v>455</v>
      </c>
      <c r="B75" s="8" t="s">
        <v>456</v>
      </c>
      <c r="C75" s="13" t="s">
        <v>457</v>
      </c>
      <c r="D75" s="8" t="s">
        <v>458</v>
      </c>
      <c r="E75" s="8" t="s">
        <v>288</v>
      </c>
      <c r="F75" s="12" t="s">
        <v>283</v>
      </c>
      <c r="G75" s="12" t="s">
        <v>39</v>
      </c>
      <c r="H75" s="12" t="s">
        <v>40</v>
      </c>
      <c r="I75" s="12" t="s">
        <v>134</v>
      </c>
      <c r="J75" s="14">
        <v>750.0</v>
      </c>
      <c r="K75" s="15">
        <v>46061.0</v>
      </c>
      <c r="L75" s="15">
        <v>46069.0</v>
      </c>
      <c r="M75" s="8" t="s">
        <v>107</v>
      </c>
    </row>
    <row r="76" ht="22.5" customHeight="1">
      <c r="A76" s="8" t="s">
        <v>459</v>
      </c>
      <c r="B76" s="8" t="s">
        <v>460</v>
      </c>
      <c r="C76" s="13" t="s">
        <v>461</v>
      </c>
      <c r="E76" s="8" t="s">
        <v>462</v>
      </c>
      <c r="F76" s="12" t="s">
        <v>283</v>
      </c>
      <c r="G76" s="12" t="s">
        <v>39</v>
      </c>
      <c r="H76" s="12" t="s">
        <v>28</v>
      </c>
      <c r="I76" s="12" t="s">
        <v>29</v>
      </c>
      <c r="J76" s="14">
        <v>2000.0</v>
      </c>
      <c r="K76" s="15">
        <v>46177.0</v>
      </c>
      <c r="L76" s="15">
        <v>46183.0</v>
      </c>
      <c r="M76" s="8" t="s">
        <v>30</v>
      </c>
    </row>
    <row r="77" ht="22.5" customHeight="1">
      <c r="A77" s="8" t="s">
        <v>463</v>
      </c>
      <c r="B77" s="8" t="s">
        <v>464</v>
      </c>
      <c r="C77" s="13" t="s">
        <v>465</v>
      </c>
      <c r="D77" s="8" t="s">
        <v>466</v>
      </c>
      <c r="E77" s="8" t="s">
        <v>332</v>
      </c>
      <c r="F77" s="12" t="s">
        <v>216</v>
      </c>
      <c r="G77" s="12" t="s">
        <v>57</v>
      </c>
      <c r="H77" s="12" t="s">
        <v>49</v>
      </c>
      <c r="I77" s="12" t="s">
        <v>1028</v>
      </c>
      <c r="J77" s="14">
        <v>2000.0</v>
      </c>
      <c r="K77" s="15">
        <v>46108.0</v>
      </c>
      <c r="L77" s="15">
        <v>46108.0</v>
      </c>
      <c r="M77" s="8" t="s">
        <v>107</v>
      </c>
    </row>
    <row r="78" ht="22.5" customHeight="1">
      <c r="A78" s="8" t="s">
        <v>467</v>
      </c>
      <c r="B78" s="8" t="s">
        <v>136</v>
      </c>
      <c r="C78" s="13" t="s">
        <v>468</v>
      </c>
      <c r="D78" s="8" t="s">
        <v>469</v>
      </c>
      <c r="E78" s="8" t="s">
        <v>392</v>
      </c>
      <c r="F78" s="12" t="s">
        <v>132</v>
      </c>
      <c r="G78" s="12" t="s">
        <v>57</v>
      </c>
      <c r="H78" s="12" t="s">
        <v>28</v>
      </c>
      <c r="I78" s="12" t="s">
        <v>58</v>
      </c>
      <c r="J78" s="14">
        <v>3000.0</v>
      </c>
      <c r="K78" s="15">
        <v>46033.0</v>
      </c>
      <c r="L78" s="15">
        <v>46075.0</v>
      </c>
      <c r="M78" s="8" t="s">
        <v>41</v>
      </c>
    </row>
    <row r="79" ht="22.5" customHeight="1">
      <c r="A79" s="8" t="s">
        <v>470</v>
      </c>
      <c r="B79" s="8" t="s">
        <v>471</v>
      </c>
      <c r="C79" s="13" t="s">
        <v>472</v>
      </c>
      <c r="D79" s="8" t="s">
        <v>473</v>
      </c>
      <c r="E79" s="8" t="s">
        <v>474</v>
      </c>
      <c r="F79" s="12" t="s">
        <v>132</v>
      </c>
      <c r="G79" s="12" t="s">
        <v>27</v>
      </c>
      <c r="H79" s="12" t="s">
        <v>76</v>
      </c>
      <c r="I79" s="12" t="s">
        <v>134</v>
      </c>
      <c r="J79" s="14">
        <v>350.0</v>
      </c>
      <c r="K79" s="15">
        <v>46250.0</v>
      </c>
      <c r="L79" s="15">
        <v>46262.0</v>
      </c>
      <c r="M79" s="8" t="s">
        <v>41</v>
      </c>
    </row>
    <row r="80" ht="22.5" customHeight="1">
      <c r="A80" s="8" t="s">
        <v>475</v>
      </c>
      <c r="B80" s="8" t="s">
        <v>476</v>
      </c>
      <c r="C80" s="13" t="s">
        <v>477</v>
      </c>
      <c r="D80" s="8" t="s">
        <v>478</v>
      </c>
      <c r="E80" s="8" t="s">
        <v>462</v>
      </c>
      <c r="F80" s="12" t="s">
        <v>132</v>
      </c>
      <c r="G80" s="12" t="s">
        <v>39</v>
      </c>
      <c r="H80" s="12" t="s">
        <v>76</v>
      </c>
      <c r="I80" s="12" t="s">
        <v>77</v>
      </c>
      <c r="J80" s="14">
        <v>4500.0</v>
      </c>
      <c r="K80" s="15">
        <v>46080.0</v>
      </c>
      <c r="L80" s="15">
        <v>46080.0</v>
      </c>
      <c r="M80" s="8" t="s">
        <v>95</v>
      </c>
    </row>
    <row r="81" ht="22.5" customHeight="1">
      <c r="A81" s="8" t="s">
        <v>479</v>
      </c>
      <c r="B81" s="8" t="s">
        <v>480</v>
      </c>
      <c r="C81" s="13" t="s">
        <v>481</v>
      </c>
      <c r="D81" s="8" t="s">
        <v>482</v>
      </c>
      <c r="E81" s="8" t="s">
        <v>483</v>
      </c>
      <c r="F81" s="12" t="s">
        <v>220</v>
      </c>
      <c r="G81" s="12" t="s">
        <v>133</v>
      </c>
      <c r="H81" s="12" t="s">
        <v>217</v>
      </c>
      <c r="I81" s="12" t="s">
        <v>58</v>
      </c>
      <c r="J81" s="14"/>
      <c r="K81" s="15">
        <v>46247.0</v>
      </c>
      <c r="L81" s="15">
        <v>46283.0</v>
      </c>
      <c r="M81" s="8" t="s">
        <v>95</v>
      </c>
    </row>
    <row r="82" ht="22.5" customHeight="1">
      <c r="A82" s="8" t="s">
        <v>484</v>
      </c>
      <c r="B82" s="8" t="s">
        <v>485</v>
      </c>
      <c r="C82" s="52"/>
      <c r="D82" s="8" t="s">
        <v>487</v>
      </c>
      <c r="E82" s="8" t="s">
        <v>488</v>
      </c>
      <c r="F82" s="12" t="s">
        <v>1029</v>
      </c>
      <c r="G82" s="12" t="s">
        <v>133</v>
      </c>
      <c r="H82" s="12" t="s">
        <v>76</v>
      </c>
      <c r="I82" s="12" t="s">
        <v>65</v>
      </c>
      <c r="J82" s="14">
        <v>500.0</v>
      </c>
      <c r="K82" s="15">
        <v>46060.0</v>
      </c>
      <c r="L82" s="15">
        <v>46097.0</v>
      </c>
      <c r="M82" s="8" t="s">
        <v>30</v>
      </c>
    </row>
    <row r="83" ht="22.5" customHeight="1">
      <c r="A83" s="8" t="s">
        <v>490</v>
      </c>
      <c r="B83" s="8" t="s">
        <v>491</v>
      </c>
      <c r="C83" s="13" t="s">
        <v>492</v>
      </c>
      <c r="D83" s="8" t="s">
        <v>493</v>
      </c>
      <c r="E83" s="8" t="s">
        <v>494</v>
      </c>
      <c r="F83" s="12" t="s">
        <v>38</v>
      </c>
      <c r="G83" s="12" t="s">
        <v>27</v>
      </c>
      <c r="H83" s="12" t="s">
        <v>28</v>
      </c>
      <c r="I83" s="12" t="s">
        <v>58</v>
      </c>
      <c r="J83" s="14">
        <v>4500.0</v>
      </c>
      <c r="K83" s="15">
        <v>46097.0</v>
      </c>
      <c r="L83" s="15">
        <v>46105.0</v>
      </c>
    </row>
    <row r="84" ht="22.5" customHeight="1">
      <c r="A84" s="8" t="s">
        <v>499</v>
      </c>
      <c r="B84" s="8" t="s">
        <v>500</v>
      </c>
      <c r="C84" s="13" t="s">
        <v>502</v>
      </c>
      <c r="D84" s="8" t="s">
        <v>508</v>
      </c>
      <c r="E84" s="8" t="s">
        <v>509</v>
      </c>
      <c r="F84" s="12" t="s">
        <v>1027</v>
      </c>
      <c r="G84" s="12" t="s">
        <v>133</v>
      </c>
      <c r="H84" s="12" t="s">
        <v>28</v>
      </c>
      <c r="I84" s="12" t="s">
        <v>77</v>
      </c>
      <c r="J84" s="14">
        <v>2000.0</v>
      </c>
      <c r="K84" s="15">
        <v>46107.0</v>
      </c>
      <c r="L84" s="15">
        <v>46136.0</v>
      </c>
      <c r="M84" s="8" t="s">
        <v>95</v>
      </c>
    </row>
    <row r="85" ht="22.5" customHeight="1">
      <c r="A85" s="8" t="s">
        <v>516</v>
      </c>
      <c r="B85" s="8" t="s">
        <v>517</v>
      </c>
      <c r="C85" s="13" t="s">
        <v>518</v>
      </c>
      <c r="D85" s="8" t="s">
        <v>522</v>
      </c>
      <c r="E85" s="8" t="s">
        <v>259</v>
      </c>
      <c r="F85" s="12" t="s">
        <v>1029</v>
      </c>
      <c r="G85" s="12" t="s">
        <v>48</v>
      </c>
      <c r="H85" s="12" t="s">
        <v>40</v>
      </c>
      <c r="I85" s="12" t="s">
        <v>1028</v>
      </c>
      <c r="J85" s="14">
        <v>3000.0</v>
      </c>
      <c r="K85" s="15">
        <v>46060.0</v>
      </c>
      <c r="L85" s="15">
        <v>46075.0</v>
      </c>
      <c r="M85" s="8" t="s">
        <v>66</v>
      </c>
    </row>
    <row r="86" ht="22.5" customHeight="1">
      <c r="A86" s="8" t="s">
        <v>530</v>
      </c>
      <c r="B86" s="8" t="s">
        <v>531</v>
      </c>
      <c r="C86" s="13" t="s">
        <v>532</v>
      </c>
      <c r="D86" s="8" t="s">
        <v>537</v>
      </c>
      <c r="E86" s="8" t="s">
        <v>167</v>
      </c>
      <c r="F86" s="12" t="s">
        <v>220</v>
      </c>
      <c r="G86" s="12" t="s">
        <v>27</v>
      </c>
      <c r="H86" s="12" t="s">
        <v>28</v>
      </c>
      <c r="I86" s="12" t="s">
        <v>58</v>
      </c>
      <c r="J86" s="14">
        <v>1500.0</v>
      </c>
      <c r="K86" s="15">
        <v>46214.0</v>
      </c>
      <c r="L86" s="15">
        <v>46255.0</v>
      </c>
      <c r="M86" s="8" t="s">
        <v>66</v>
      </c>
    </row>
    <row r="87" ht="22.5" customHeight="1">
      <c r="A87" s="8" t="s">
        <v>541</v>
      </c>
      <c r="B87" s="8" t="s">
        <v>542</v>
      </c>
      <c r="C87" s="13" t="s">
        <v>543</v>
      </c>
      <c r="D87" s="8" t="s">
        <v>544</v>
      </c>
      <c r="E87" s="8" t="s">
        <v>545</v>
      </c>
      <c r="F87" s="12" t="s">
        <v>201</v>
      </c>
      <c r="G87" s="12" t="s">
        <v>39</v>
      </c>
      <c r="H87" s="12" t="s">
        <v>217</v>
      </c>
      <c r="I87" s="12" t="s">
        <v>65</v>
      </c>
      <c r="J87" s="14">
        <v>1200.0</v>
      </c>
      <c r="K87" s="15">
        <v>46267.0</v>
      </c>
      <c r="L87" s="15">
        <v>46287.0</v>
      </c>
    </row>
    <row r="88" ht="22.5" customHeight="1">
      <c r="A88" s="8" t="s">
        <v>547</v>
      </c>
      <c r="B88" s="8" t="s">
        <v>320</v>
      </c>
      <c r="C88" s="13" t="s">
        <v>548</v>
      </c>
      <c r="D88" s="8" t="s">
        <v>549</v>
      </c>
      <c r="F88" s="12" t="s">
        <v>175</v>
      </c>
      <c r="G88" s="12" t="s">
        <v>39</v>
      </c>
      <c r="H88" s="12" t="s">
        <v>49</v>
      </c>
      <c r="I88" s="12" t="s">
        <v>65</v>
      </c>
      <c r="J88" s="14">
        <v>2000.0</v>
      </c>
      <c r="K88" s="15">
        <v>46253.0</v>
      </c>
      <c r="L88" s="15">
        <v>46266.0</v>
      </c>
      <c r="M88" s="8" t="s">
        <v>41</v>
      </c>
    </row>
    <row r="89" ht="22.5" customHeight="1">
      <c r="A89" s="8" t="s">
        <v>550</v>
      </c>
      <c r="B89" s="8" t="s">
        <v>551</v>
      </c>
      <c r="C89" s="13" t="s">
        <v>552</v>
      </c>
      <c r="D89" s="8" t="s">
        <v>553</v>
      </c>
      <c r="E89" s="8" t="s">
        <v>554</v>
      </c>
      <c r="F89" s="12" t="s">
        <v>38</v>
      </c>
      <c r="G89" s="12" t="s">
        <v>133</v>
      </c>
      <c r="H89" s="12" t="s">
        <v>40</v>
      </c>
      <c r="I89" s="12" t="s">
        <v>29</v>
      </c>
      <c r="J89" s="14">
        <v>750.0</v>
      </c>
      <c r="K89" s="15">
        <v>46120.0</v>
      </c>
      <c r="L89" s="15">
        <v>46159.0</v>
      </c>
      <c r="M89" s="8" t="s">
        <v>66</v>
      </c>
    </row>
    <row r="90" ht="22.5" customHeight="1">
      <c r="A90" s="8" t="s">
        <v>555</v>
      </c>
      <c r="B90" s="8" t="s">
        <v>476</v>
      </c>
      <c r="C90" s="13" t="s">
        <v>556</v>
      </c>
      <c r="D90" s="8" t="s">
        <v>557</v>
      </c>
      <c r="E90" s="8" t="s">
        <v>112</v>
      </c>
      <c r="F90" s="12" t="s">
        <v>220</v>
      </c>
      <c r="G90" s="12" t="s">
        <v>48</v>
      </c>
      <c r="H90" s="12" t="s">
        <v>217</v>
      </c>
      <c r="I90" s="12" t="s">
        <v>77</v>
      </c>
      <c r="J90" s="14">
        <v>1500.0</v>
      </c>
      <c r="K90" s="15">
        <v>46080.0</v>
      </c>
      <c r="L90" s="15">
        <v>46113.0</v>
      </c>
      <c r="M90" s="8" t="s">
        <v>30</v>
      </c>
    </row>
    <row r="91" ht="22.5" customHeight="1">
      <c r="A91" s="8" t="s">
        <v>558</v>
      </c>
      <c r="B91" s="8" t="s">
        <v>559</v>
      </c>
      <c r="C91" s="13" t="s">
        <v>560</v>
      </c>
      <c r="D91" s="8" t="s">
        <v>561</v>
      </c>
      <c r="E91" s="8" t="s">
        <v>562</v>
      </c>
      <c r="F91" s="12" t="s">
        <v>140</v>
      </c>
      <c r="G91" s="12" t="s">
        <v>106</v>
      </c>
      <c r="H91" s="12" t="s">
        <v>40</v>
      </c>
      <c r="I91" s="12" t="s">
        <v>29</v>
      </c>
      <c r="J91" s="14">
        <v>2500.0</v>
      </c>
      <c r="K91" s="15">
        <v>46055.0</v>
      </c>
      <c r="L91" s="15">
        <v>46064.0</v>
      </c>
      <c r="M91" s="8" t="s">
        <v>66</v>
      </c>
    </row>
    <row r="92" ht="22.5" customHeight="1">
      <c r="A92" s="8" t="s">
        <v>563</v>
      </c>
      <c r="B92" s="8" t="s">
        <v>564</v>
      </c>
      <c r="C92" s="13" t="s">
        <v>565</v>
      </c>
      <c r="D92" s="8" t="s">
        <v>566</v>
      </c>
      <c r="E92" s="8" t="s">
        <v>453</v>
      </c>
      <c r="F92" s="12" t="s">
        <v>175</v>
      </c>
      <c r="G92" s="12" t="s">
        <v>27</v>
      </c>
      <c r="H92" s="12" t="s">
        <v>40</v>
      </c>
      <c r="I92" s="12" t="s">
        <v>58</v>
      </c>
      <c r="J92" s="14"/>
      <c r="K92" s="15">
        <v>46256.0</v>
      </c>
      <c r="L92" s="15">
        <v>46290.0</v>
      </c>
    </row>
    <row r="93" ht="22.5" customHeight="1">
      <c r="A93" s="8" t="s">
        <v>567</v>
      </c>
      <c r="B93" s="8" t="s">
        <v>568</v>
      </c>
      <c r="C93" s="13" t="s">
        <v>569</v>
      </c>
      <c r="D93" s="8" t="s">
        <v>570</v>
      </c>
      <c r="E93" s="8" t="s">
        <v>571</v>
      </c>
      <c r="F93" s="12" t="s">
        <v>283</v>
      </c>
      <c r="G93" s="12" t="s">
        <v>57</v>
      </c>
      <c r="H93" s="12" t="s">
        <v>217</v>
      </c>
      <c r="I93" s="12" t="s">
        <v>50</v>
      </c>
      <c r="J93" s="14"/>
      <c r="K93" s="15">
        <v>46043.0</v>
      </c>
      <c r="L93" s="15">
        <v>46051.0</v>
      </c>
      <c r="M93" s="8" t="s">
        <v>41</v>
      </c>
    </row>
    <row r="94" ht="22.5" customHeight="1">
      <c r="A94" s="8" t="s">
        <v>572</v>
      </c>
      <c r="B94" s="8" t="s">
        <v>573</v>
      </c>
      <c r="C94" s="13" t="s">
        <v>574</v>
      </c>
      <c r="D94" s="8" t="s">
        <v>575</v>
      </c>
      <c r="E94" s="8" t="s">
        <v>576</v>
      </c>
      <c r="F94" s="12" t="s">
        <v>120</v>
      </c>
      <c r="G94" s="12" t="s">
        <v>39</v>
      </c>
      <c r="H94" s="12" t="s">
        <v>217</v>
      </c>
      <c r="I94" s="12" t="s">
        <v>29</v>
      </c>
      <c r="J94" s="14">
        <v>2000.0</v>
      </c>
      <c r="K94" s="15">
        <v>46141.0</v>
      </c>
      <c r="L94" s="15">
        <v>46158.0</v>
      </c>
      <c r="M94" s="8" t="s">
        <v>30</v>
      </c>
    </row>
    <row r="95" ht="22.5" customHeight="1">
      <c r="A95" s="8" t="s">
        <v>578</v>
      </c>
      <c r="B95" s="8" t="s">
        <v>579</v>
      </c>
      <c r="C95" s="52"/>
      <c r="D95" s="8" t="s">
        <v>580</v>
      </c>
      <c r="E95" s="8" t="s">
        <v>581</v>
      </c>
      <c r="F95" s="12" t="s">
        <v>220</v>
      </c>
      <c r="G95" s="12" t="s">
        <v>57</v>
      </c>
      <c r="H95" s="12" t="s">
        <v>76</v>
      </c>
      <c r="I95" s="12" t="s">
        <v>77</v>
      </c>
      <c r="J95" s="14">
        <v>2000.0</v>
      </c>
      <c r="K95" s="15">
        <v>46041.0</v>
      </c>
      <c r="L95" s="15">
        <v>46061.0</v>
      </c>
      <c r="M95" s="8" t="s">
        <v>66</v>
      </c>
    </row>
    <row r="96" ht="22.5" customHeight="1">
      <c r="A96" s="8" t="s">
        <v>583</v>
      </c>
      <c r="B96" s="8" t="s">
        <v>584</v>
      </c>
      <c r="C96" s="13" t="s">
        <v>585</v>
      </c>
      <c r="D96" s="8" t="s">
        <v>586</v>
      </c>
      <c r="E96" s="8" t="s">
        <v>131</v>
      </c>
      <c r="F96" s="12" t="s">
        <v>47</v>
      </c>
      <c r="G96" s="12" t="s">
        <v>133</v>
      </c>
      <c r="H96" s="12" t="s">
        <v>40</v>
      </c>
      <c r="I96" s="12" t="s">
        <v>134</v>
      </c>
      <c r="J96" s="14">
        <v>1500.0</v>
      </c>
      <c r="K96" s="15">
        <v>46183.0</v>
      </c>
      <c r="L96" s="15">
        <v>46199.0</v>
      </c>
      <c r="M96" s="8" t="s">
        <v>107</v>
      </c>
    </row>
    <row r="97" ht="22.5" customHeight="1">
      <c r="A97" s="8" t="s">
        <v>587</v>
      </c>
      <c r="B97" s="8" t="s">
        <v>588</v>
      </c>
      <c r="C97" s="13" t="s">
        <v>589</v>
      </c>
      <c r="D97" s="8" t="s">
        <v>590</v>
      </c>
      <c r="E97" s="8" t="s">
        <v>591</v>
      </c>
      <c r="F97" s="12" t="s">
        <v>47</v>
      </c>
      <c r="G97" s="12" t="s">
        <v>57</v>
      </c>
      <c r="H97" s="12" t="s">
        <v>28</v>
      </c>
      <c r="I97" s="12" t="s">
        <v>29</v>
      </c>
      <c r="J97" s="14">
        <v>1200.0</v>
      </c>
      <c r="K97" s="15">
        <v>46232.0</v>
      </c>
      <c r="L97" s="15">
        <v>46254.0</v>
      </c>
    </row>
    <row r="98" ht="22.5" customHeight="1">
      <c r="A98" s="8" t="s">
        <v>592</v>
      </c>
      <c r="B98" s="8" t="s">
        <v>593</v>
      </c>
      <c r="C98" s="13" t="s">
        <v>594</v>
      </c>
      <c r="D98" s="8" t="s">
        <v>595</v>
      </c>
      <c r="E98" s="8" t="s">
        <v>100</v>
      </c>
      <c r="F98" s="12" t="s">
        <v>140</v>
      </c>
      <c r="G98" s="12" t="s">
        <v>39</v>
      </c>
      <c r="H98" s="12" t="s">
        <v>28</v>
      </c>
      <c r="I98" s="12" t="s">
        <v>29</v>
      </c>
      <c r="J98" s="14">
        <v>2500.0</v>
      </c>
      <c r="K98" s="15">
        <v>46131.0</v>
      </c>
      <c r="L98" s="15">
        <v>46160.0</v>
      </c>
      <c r="M98" s="8" t="s">
        <v>107</v>
      </c>
    </row>
    <row r="99" ht="22.5" customHeight="1">
      <c r="A99" s="8" t="s">
        <v>596</v>
      </c>
      <c r="B99" s="8" t="s">
        <v>369</v>
      </c>
      <c r="C99" s="13" t="s">
        <v>597</v>
      </c>
      <c r="D99" s="8" t="s">
        <v>598</v>
      </c>
      <c r="E99" s="8" t="s">
        <v>571</v>
      </c>
      <c r="F99" s="12" t="s">
        <v>47</v>
      </c>
      <c r="G99" s="12" t="s">
        <v>27</v>
      </c>
      <c r="H99" s="12" t="s">
        <v>217</v>
      </c>
      <c r="I99" s="12" t="s">
        <v>134</v>
      </c>
      <c r="J99" s="14">
        <v>2000.0</v>
      </c>
      <c r="K99" s="15">
        <v>46227.0</v>
      </c>
      <c r="L99" s="15">
        <v>46247.0</v>
      </c>
      <c r="M99" s="8" t="s">
        <v>41</v>
      </c>
    </row>
    <row r="100" ht="22.5" customHeight="1">
      <c r="A100" s="8" t="s">
        <v>599</v>
      </c>
      <c r="B100" s="8" t="s">
        <v>600</v>
      </c>
      <c r="C100" s="13" t="s">
        <v>601</v>
      </c>
      <c r="D100" s="8" t="s">
        <v>602</v>
      </c>
      <c r="E100" s="8" t="s">
        <v>603</v>
      </c>
      <c r="F100" s="12" t="s">
        <v>38</v>
      </c>
      <c r="G100" s="12" t="s">
        <v>106</v>
      </c>
      <c r="H100" s="12" t="s">
        <v>28</v>
      </c>
      <c r="I100" s="12" t="s">
        <v>65</v>
      </c>
      <c r="J100" s="14">
        <v>4500.0</v>
      </c>
      <c r="K100" s="15">
        <v>46075.0</v>
      </c>
      <c r="L100" s="15">
        <v>46099.0</v>
      </c>
      <c r="M100" s="8" t="s">
        <v>107</v>
      </c>
    </row>
    <row r="101" ht="22.5" customHeight="1">
      <c r="A101" s="8" t="s">
        <v>604</v>
      </c>
      <c r="B101" s="8" t="s">
        <v>605</v>
      </c>
      <c r="C101" s="13" t="s">
        <v>606</v>
      </c>
      <c r="D101" s="8" t="s">
        <v>607</v>
      </c>
      <c r="E101" s="8" t="s">
        <v>608</v>
      </c>
      <c r="F101" s="12" t="s">
        <v>1029</v>
      </c>
      <c r="G101" s="12" t="s">
        <v>133</v>
      </c>
      <c r="H101" s="12" t="s">
        <v>28</v>
      </c>
      <c r="I101" s="12" t="s">
        <v>609</v>
      </c>
      <c r="J101" s="14">
        <v>4500.0</v>
      </c>
      <c r="K101" s="15">
        <v>46157.0</v>
      </c>
      <c r="L101" s="15">
        <v>46184.0</v>
      </c>
    </row>
    <row r="102" ht="22.5" customHeight="1">
      <c r="A102" s="8" t="s">
        <v>610</v>
      </c>
      <c r="B102" s="8" t="s">
        <v>542</v>
      </c>
      <c r="C102" s="13" t="s">
        <v>611</v>
      </c>
      <c r="D102" s="8" t="s">
        <v>612</v>
      </c>
      <c r="E102" s="8" t="s">
        <v>237</v>
      </c>
      <c r="F102" s="12" t="s">
        <v>201</v>
      </c>
      <c r="G102" s="12" t="s">
        <v>39</v>
      </c>
      <c r="H102" s="12" t="s">
        <v>40</v>
      </c>
      <c r="I102" s="12" t="s">
        <v>50</v>
      </c>
      <c r="J102" s="14">
        <v>2500.0</v>
      </c>
      <c r="K102" s="15">
        <v>46112.0</v>
      </c>
      <c r="L102" s="15">
        <v>46123.0</v>
      </c>
      <c r="M102" s="8" t="s">
        <v>30</v>
      </c>
    </row>
    <row r="103" ht="22.5" customHeight="1">
      <c r="A103" s="8" t="s">
        <v>613</v>
      </c>
      <c r="B103" s="8" t="s">
        <v>614</v>
      </c>
      <c r="C103" s="13" t="s">
        <v>615</v>
      </c>
      <c r="D103" s="8" t="s">
        <v>616</v>
      </c>
      <c r="E103" s="8" t="s">
        <v>617</v>
      </c>
      <c r="F103" s="12" t="s">
        <v>38</v>
      </c>
      <c r="G103" s="12" t="s">
        <v>106</v>
      </c>
      <c r="H103" s="12" t="s">
        <v>40</v>
      </c>
      <c r="I103" s="12" t="s">
        <v>65</v>
      </c>
      <c r="J103" s="14">
        <v>900.0</v>
      </c>
      <c r="K103" s="15">
        <v>46247.0</v>
      </c>
      <c r="L103" s="15">
        <v>46290.0</v>
      </c>
      <c r="M103" s="8" t="s">
        <v>30</v>
      </c>
    </row>
    <row r="104" ht="22.5" customHeight="1">
      <c r="A104" s="8" t="s">
        <v>618</v>
      </c>
      <c r="B104" s="8" t="s">
        <v>619</v>
      </c>
      <c r="C104" s="13" t="s">
        <v>621</v>
      </c>
      <c r="D104" s="8" t="s">
        <v>622</v>
      </c>
      <c r="E104" s="8" t="s">
        <v>453</v>
      </c>
      <c r="F104" s="12" t="s">
        <v>220</v>
      </c>
      <c r="G104" s="12" t="s">
        <v>48</v>
      </c>
      <c r="H104" s="12" t="s">
        <v>76</v>
      </c>
      <c r="I104" s="12" t="s">
        <v>77</v>
      </c>
      <c r="J104" s="14">
        <v>750.0</v>
      </c>
      <c r="K104" s="15">
        <v>46111.0</v>
      </c>
      <c r="L104" s="15">
        <v>46144.0</v>
      </c>
    </row>
    <row r="105" ht="22.5" customHeight="1">
      <c r="A105" s="8" t="s">
        <v>624</v>
      </c>
      <c r="B105" s="8" t="s">
        <v>625</v>
      </c>
      <c r="C105" s="13" t="s">
        <v>626</v>
      </c>
      <c r="D105" s="8" t="s">
        <v>627</v>
      </c>
      <c r="E105" s="8" t="s">
        <v>210</v>
      </c>
      <c r="F105" s="12" t="s">
        <v>283</v>
      </c>
      <c r="G105" s="12" t="s">
        <v>57</v>
      </c>
      <c r="H105" s="12" t="s">
        <v>40</v>
      </c>
      <c r="I105" s="12" t="s">
        <v>77</v>
      </c>
      <c r="J105" s="14">
        <v>900.0</v>
      </c>
      <c r="K105" s="15">
        <v>46087.0</v>
      </c>
      <c r="L105" s="15">
        <v>46107.0</v>
      </c>
      <c r="M105" s="8" t="s">
        <v>66</v>
      </c>
    </row>
    <row r="106" ht="22.5" customHeight="1">
      <c r="A106" s="8" t="s">
        <v>629</v>
      </c>
      <c r="B106" s="8" t="s">
        <v>630</v>
      </c>
      <c r="C106" s="13" t="s">
        <v>631</v>
      </c>
      <c r="D106" s="8" t="s">
        <v>633</v>
      </c>
      <c r="E106" s="8" t="s">
        <v>634</v>
      </c>
      <c r="F106" s="12" t="s">
        <v>38</v>
      </c>
      <c r="G106" s="12" t="s">
        <v>57</v>
      </c>
      <c r="H106" s="12" t="s">
        <v>49</v>
      </c>
      <c r="I106" s="12" t="s">
        <v>29</v>
      </c>
      <c r="J106" s="14">
        <v>3000.0</v>
      </c>
      <c r="K106" s="15">
        <v>46153.0</v>
      </c>
      <c r="L106" s="15">
        <v>46171.0</v>
      </c>
    </row>
    <row r="107" ht="22.5" customHeight="1">
      <c r="A107" s="8" t="s">
        <v>636</v>
      </c>
      <c r="B107" s="8" t="s">
        <v>637</v>
      </c>
      <c r="C107" s="13" t="s">
        <v>638</v>
      </c>
      <c r="D107" s="8" t="s">
        <v>639</v>
      </c>
      <c r="E107" s="8" t="s">
        <v>640</v>
      </c>
      <c r="F107" s="12" t="s">
        <v>1027</v>
      </c>
      <c r="G107" s="12" t="s">
        <v>106</v>
      </c>
      <c r="H107" s="12" t="s">
        <v>76</v>
      </c>
      <c r="I107" s="12" t="s">
        <v>58</v>
      </c>
      <c r="J107" s="14">
        <v>1500.0</v>
      </c>
      <c r="K107" s="15">
        <v>46062.0</v>
      </c>
      <c r="L107" s="15">
        <v>46064.0</v>
      </c>
      <c r="M107" s="8" t="s">
        <v>95</v>
      </c>
    </row>
    <row r="108" ht="22.5" customHeight="1">
      <c r="A108" s="8" t="s">
        <v>642</v>
      </c>
      <c r="B108" s="8" t="s">
        <v>373</v>
      </c>
      <c r="C108" s="13" t="s">
        <v>643</v>
      </c>
      <c r="D108" s="8" t="s">
        <v>644</v>
      </c>
      <c r="E108" s="8" t="s">
        <v>645</v>
      </c>
      <c r="F108" s="12" t="s">
        <v>47</v>
      </c>
      <c r="G108" s="12" t="s">
        <v>27</v>
      </c>
      <c r="H108" s="12" t="s">
        <v>217</v>
      </c>
      <c r="I108" s="12" t="s">
        <v>77</v>
      </c>
      <c r="J108" s="14">
        <v>750.0</v>
      </c>
      <c r="K108" s="15">
        <v>46082.0</v>
      </c>
      <c r="L108" s="15">
        <v>46092.0</v>
      </c>
      <c r="M108" s="8" t="s">
        <v>95</v>
      </c>
    </row>
    <row r="109" ht="22.5" customHeight="1">
      <c r="A109" s="8" t="s">
        <v>647</v>
      </c>
      <c r="B109" s="8" t="s">
        <v>648</v>
      </c>
      <c r="C109" s="13" t="s">
        <v>649</v>
      </c>
      <c r="D109" s="8" t="s">
        <v>651</v>
      </c>
      <c r="E109" s="8" t="s">
        <v>652</v>
      </c>
      <c r="F109" s="12" t="s">
        <v>38</v>
      </c>
      <c r="G109" s="12" t="s">
        <v>39</v>
      </c>
      <c r="H109" s="12" t="s">
        <v>49</v>
      </c>
      <c r="I109" s="12" t="s">
        <v>29</v>
      </c>
      <c r="J109" s="14">
        <v>900.0</v>
      </c>
      <c r="K109" s="15">
        <v>46143.0</v>
      </c>
      <c r="L109" s="15">
        <v>46160.0</v>
      </c>
      <c r="M109" s="8" t="s">
        <v>95</v>
      </c>
    </row>
    <row r="110" ht="22.5" customHeight="1">
      <c r="A110" s="8" t="s">
        <v>654</v>
      </c>
      <c r="B110" s="8" t="s">
        <v>655</v>
      </c>
      <c r="C110" s="13" t="s">
        <v>656</v>
      </c>
      <c r="D110" s="8" t="s">
        <v>657</v>
      </c>
      <c r="E110" s="8" t="s">
        <v>414</v>
      </c>
      <c r="F110" s="12" t="s">
        <v>1029</v>
      </c>
      <c r="G110" s="12" t="s">
        <v>106</v>
      </c>
      <c r="H110" s="12" t="s">
        <v>49</v>
      </c>
      <c r="I110" s="12" t="s">
        <v>134</v>
      </c>
      <c r="J110" s="14">
        <v>4500.0</v>
      </c>
      <c r="K110" s="15">
        <v>46042.0</v>
      </c>
      <c r="L110" s="15">
        <v>46042.0</v>
      </c>
      <c r="M110" s="8" t="s">
        <v>66</v>
      </c>
    </row>
    <row r="111" ht="22.5" customHeight="1">
      <c r="A111" s="8" t="s">
        <v>659</v>
      </c>
      <c r="B111" s="8" t="s">
        <v>660</v>
      </c>
      <c r="C111" s="52" t="s">
        <v>661</v>
      </c>
      <c r="D111" s="8" t="s">
        <v>663</v>
      </c>
      <c r="E111" s="8" t="s">
        <v>332</v>
      </c>
      <c r="F111" s="12" t="s">
        <v>220</v>
      </c>
      <c r="G111" s="12" t="s">
        <v>106</v>
      </c>
      <c r="H111" s="12" t="s">
        <v>40</v>
      </c>
      <c r="I111" s="12" t="s">
        <v>50</v>
      </c>
      <c r="J111" s="14">
        <v>750.0</v>
      </c>
      <c r="K111" s="15">
        <v>46264.0</v>
      </c>
      <c r="L111" s="15"/>
      <c r="M111" s="8" t="s">
        <v>95</v>
      </c>
    </row>
    <row r="112" ht="22.5" customHeight="1">
      <c r="A112" s="8" t="s">
        <v>666</v>
      </c>
      <c r="B112" s="8" t="s">
        <v>667</v>
      </c>
      <c r="C112" s="13" t="s">
        <v>668</v>
      </c>
      <c r="D112" s="8" t="s">
        <v>670</v>
      </c>
      <c r="E112" s="8" t="s">
        <v>671</v>
      </c>
      <c r="F112" s="12" t="s">
        <v>1029</v>
      </c>
      <c r="G112" s="12" t="s">
        <v>48</v>
      </c>
      <c r="H112" s="12" t="s">
        <v>28</v>
      </c>
      <c r="I112" s="12" t="s">
        <v>77</v>
      </c>
      <c r="J112" s="14">
        <v>2500.0</v>
      </c>
      <c r="K112" s="15">
        <v>46119.0</v>
      </c>
      <c r="L112" s="15">
        <v>46133.0</v>
      </c>
      <c r="M112" s="8" t="s">
        <v>41</v>
      </c>
    </row>
    <row r="113" ht="22.5" customHeight="1">
      <c r="A113" s="8" t="s">
        <v>672</v>
      </c>
      <c r="B113" s="8" t="s">
        <v>673</v>
      </c>
      <c r="C113" s="13" t="s">
        <v>674</v>
      </c>
      <c r="D113" s="8" t="s">
        <v>677</v>
      </c>
      <c r="E113" s="8" t="s">
        <v>414</v>
      </c>
      <c r="F113" s="12" t="s">
        <v>220</v>
      </c>
      <c r="G113" s="12" t="s">
        <v>57</v>
      </c>
      <c r="H113" s="12" t="s">
        <v>49</v>
      </c>
      <c r="I113" s="12" t="s">
        <v>77</v>
      </c>
      <c r="J113" s="14">
        <v>500.0</v>
      </c>
      <c r="K113" s="15">
        <v>46126.0</v>
      </c>
      <c r="L113" s="15">
        <v>46164.0</v>
      </c>
      <c r="M113" s="8" t="s">
        <v>95</v>
      </c>
    </row>
    <row r="114" ht="22.5" customHeight="1">
      <c r="A114" s="8" t="s">
        <v>679</v>
      </c>
      <c r="B114" s="8" t="s">
        <v>680</v>
      </c>
      <c r="C114" s="13" t="s">
        <v>681</v>
      </c>
      <c r="D114" s="8" t="s">
        <v>682</v>
      </c>
      <c r="E114" s="8" t="s">
        <v>683</v>
      </c>
      <c r="F114" s="12" t="s">
        <v>38</v>
      </c>
      <c r="G114" s="12" t="s">
        <v>27</v>
      </c>
      <c r="H114" s="12" t="s">
        <v>217</v>
      </c>
      <c r="I114" s="12" t="s">
        <v>134</v>
      </c>
      <c r="J114" s="14">
        <v>900.0</v>
      </c>
      <c r="K114" s="15">
        <v>46194.0</v>
      </c>
      <c r="L114" s="15">
        <v>46238.0</v>
      </c>
      <c r="M114" s="8" t="s">
        <v>107</v>
      </c>
    </row>
    <row r="115" ht="22.5" customHeight="1">
      <c r="A115" s="8" t="s">
        <v>684</v>
      </c>
      <c r="B115" s="8" t="s">
        <v>685</v>
      </c>
      <c r="C115" s="13" t="s">
        <v>686</v>
      </c>
      <c r="D115" s="8" t="s">
        <v>687</v>
      </c>
      <c r="E115" s="8" t="s">
        <v>55</v>
      </c>
      <c r="F115" s="12" t="s">
        <v>38</v>
      </c>
      <c r="G115" s="12" t="s">
        <v>48</v>
      </c>
      <c r="H115" s="12" t="s">
        <v>40</v>
      </c>
      <c r="I115" s="12" t="s">
        <v>58</v>
      </c>
      <c r="J115" s="14">
        <v>1500.0</v>
      </c>
      <c r="K115" s="15">
        <v>46205.0</v>
      </c>
      <c r="L115" s="15">
        <v>46235.0</v>
      </c>
    </row>
    <row r="116" ht="22.5" customHeight="1">
      <c r="A116" s="8" t="s">
        <v>688</v>
      </c>
      <c r="B116" s="8" t="s">
        <v>689</v>
      </c>
      <c r="C116" s="13" t="s">
        <v>690</v>
      </c>
      <c r="D116" s="8" t="s">
        <v>691</v>
      </c>
      <c r="E116" s="8" t="s">
        <v>692</v>
      </c>
      <c r="F116" s="12" t="s">
        <v>220</v>
      </c>
      <c r="G116" s="12" t="s">
        <v>133</v>
      </c>
      <c r="H116" s="12" t="s">
        <v>49</v>
      </c>
      <c r="I116" s="12" t="s">
        <v>77</v>
      </c>
      <c r="J116" s="14">
        <v>350.0</v>
      </c>
      <c r="K116" s="15">
        <v>46240.0</v>
      </c>
      <c r="L116" s="15">
        <v>46276.0</v>
      </c>
      <c r="M116" s="8" t="s">
        <v>107</v>
      </c>
    </row>
    <row r="117" ht="22.5" customHeight="1">
      <c r="A117" s="8" t="s">
        <v>693</v>
      </c>
      <c r="B117" s="8" t="s">
        <v>694</v>
      </c>
      <c r="C117" s="13" t="s">
        <v>695</v>
      </c>
      <c r="D117" s="8" t="s">
        <v>696</v>
      </c>
      <c r="F117" s="12" t="s">
        <v>140</v>
      </c>
      <c r="G117" s="12" t="s">
        <v>57</v>
      </c>
      <c r="H117" s="12" t="s">
        <v>40</v>
      </c>
      <c r="I117" s="12" t="s">
        <v>77</v>
      </c>
      <c r="J117" s="14">
        <v>1500.0</v>
      </c>
      <c r="K117" s="15">
        <v>46065.0</v>
      </c>
      <c r="L117" s="15">
        <v>46080.0</v>
      </c>
      <c r="M117" s="8" t="s">
        <v>41</v>
      </c>
    </row>
    <row r="118" ht="22.5" customHeight="1">
      <c r="A118" s="8" t="s">
        <v>697</v>
      </c>
      <c r="B118" s="8" t="s">
        <v>698</v>
      </c>
      <c r="C118" s="13" t="s">
        <v>699</v>
      </c>
      <c r="D118" s="8" t="s">
        <v>700</v>
      </c>
      <c r="E118" s="8" t="s">
        <v>125</v>
      </c>
      <c r="F118" s="12" t="s">
        <v>120</v>
      </c>
      <c r="G118" s="12" t="s">
        <v>48</v>
      </c>
      <c r="H118" s="12" t="s">
        <v>28</v>
      </c>
      <c r="I118" s="12" t="s">
        <v>50</v>
      </c>
      <c r="J118" s="14">
        <v>1500.0</v>
      </c>
      <c r="K118" s="15">
        <v>46078.0</v>
      </c>
      <c r="L118" s="15">
        <v>46106.0</v>
      </c>
      <c r="M118" s="8" t="s">
        <v>41</v>
      </c>
    </row>
    <row r="119" ht="22.5" customHeight="1">
      <c r="A119" s="8" t="s">
        <v>701</v>
      </c>
      <c r="B119" s="8" t="s">
        <v>702</v>
      </c>
      <c r="C119" s="13" t="s">
        <v>703</v>
      </c>
      <c r="D119" s="8" t="s">
        <v>704</v>
      </c>
      <c r="E119" s="8" t="s">
        <v>200</v>
      </c>
      <c r="F119" s="12" t="s">
        <v>201</v>
      </c>
      <c r="G119" s="12" t="s">
        <v>133</v>
      </c>
      <c r="H119" s="12" t="s">
        <v>217</v>
      </c>
      <c r="I119" s="12" t="s">
        <v>134</v>
      </c>
      <c r="J119" s="14">
        <v>1200.0</v>
      </c>
      <c r="K119" s="15">
        <v>46202.0</v>
      </c>
      <c r="L119" s="15">
        <v>46228.0</v>
      </c>
    </row>
    <row r="120" ht="22.5" customHeight="1">
      <c r="A120" s="8" t="s">
        <v>705</v>
      </c>
      <c r="B120" s="8" t="s">
        <v>706</v>
      </c>
      <c r="C120" s="13" t="s">
        <v>707</v>
      </c>
      <c r="D120" s="8" t="s">
        <v>708</v>
      </c>
      <c r="E120" s="8" t="s">
        <v>709</v>
      </c>
      <c r="F120" s="12" t="s">
        <v>132</v>
      </c>
      <c r="G120" s="12" t="s">
        <v>106</v>
      </c>
      <c r="H120" s="12" t="s">
        <v>28</v>
      </c>
      <c r="I120" s="12" t="s">
        <v>58</v>
      </c>
      <c r="J120" s="14">
        <v>500.0</v>
      </c>
      <c r="K120" s="15">
        <v>46204.0</v>
      </c>
      <c r="L120" s="15">
        <v>46204.0</v>
      </c>
    </row>
    <row r="121" ht="22.5" customHeight="1">
      <c r="A121" s="8" t="s">
        <v>710</v>
      </c>
      <c r="B121" s="8" t="s">
        <v>711</v>
      </c>
      <c r="C121" s="52"/>
      <c r="D121" s="8" t="s">
        <v>712</v>
      </c>
      <c r="E121" s="8" t="s">
        <v>713</v>
      </c>
      <c r="F121" s="12" t="s">
        <v>220</v>
      </c>
      <c r="G121" s="12" t="s">
        <v>106</v>
      </c>
      <c r="H121" s="12" t="s">
        <v>76</v>
      </c>
      <c r="I121" s="12" t="s">
        <v>134</v>
      </c>
      <c r="J121" s="14">
        <v>900.0</v>
      </c>
      <c r="K121" s="15">
        <v>46187.0</v>
      </c>
      <c r="L121" s="15">
        <v>46216.0</v>
      </c>
      <c r="M121" s="8" t="s">
        <v>107</v>
      </c>
    </row>
    <row r="122" ht="22.5" customHeight="1">
      <c r="A122" s="8" t="s">
        <v>714</v>
      </c>
      <c r="B122" s="8" t="s">
        <v>471</v>
      </c>
      <c r="C122" s="13" t="s">
        <v>715</v>
      </c>
      <c r="D122" s="8" t="s">
        <v>716</v>
      </c>
      <c r="E122" s="8" t="s">
        <v>717</v>
      </c>
      <c r="F122" s="12" t="s">
        <v>216</v>
      </c>
      <c r="G122" s="12" t="s">
        <v>57</v>
      </c>
      <c r="H122" s="12" t="s">
        <v>217</v>
      </c>
      <c r="I122" s="12" t="s">
        <v>65</v>
      </c>
      <c r="J122" s="14">
        <v>2000.0</v>
      </c>
      <c r="K122" s="15">
        <v>46178.0</v>
      </c>
      <c r="L122" s="15">
        <v>46201.0</v>
      </c>
    </row>
    <row r="123" ht="22.5" customHeight="1">
      <c r="A123" s="8" t="s">
        <v>718</v>
      </c>
      <c r="B123" s="8" t="s">
        <v>559</v>
      </c>
      <c r="C123" s="13" t="s">
        <v>719</v>
      </c>
      <c r="D123" s="8" t="s">
        <v>720</v>
      </c>
      <c r="E123" s="8" t="s">
        <v>161</v>
      </c>
      <c r="F123" s="12" t="s">
        <v>220</v>
      </c>
      <c r="G123" s="12" t="s">
        <v>133</v>
      </c>
      <c r="H123" s="12" t="s">
        <v>76</v>
      </c>
      <c r="I123" s="12" t="s">
        <v>29</v>
      </c>
      <c r="J123" s="14">
        <v>2500.0</v>
      </c>
      <c r="K123" s="15">
        <v>46071.0</v>
      </c>
      <c r="L123" s="15">
        <v>46103.0</v>
      </c>
      <c r="M123" s="8" t="s">
        <v>66</v>
      </c>
    </row>
    <row r="124" ht="22.5" customHeight="1">
      <c r="A124" s="8" t="s">
        <v>721</v>
      </c>
      <c r="B124" s="8" t="s">
        <v>722</v>
      </c>
      <c r="C124" s="13" t="s">
        <v>723</v>
      </c>
      <c r="D124" s="8" t="s">
        <v>724</v>
      </c>
      <c r="E124" s="8" t="s">
        <v>293</v>
      </c>
      <c r="F124" s="12" t="s">
        <v>38</v>
      </c>
      <c r="G124" s="12" t="s">
        <v>27</v>
      </c>
      <c r="H124" s="12" t="s">
        <v>76</v>
      </c>
      <c r="I124" s="12" t="s">
        <v>58</v>
      </c>
      <c r="J124" s="14">
        <v>4500.0</v>
      </c>
      <c r="K124" s="15">
        <v>46137.0</v>
      </c>
      <c r="L124" s="15">
        <v>46154.0</v>
      </c>
      <c r="M124" s="8" t="s">
        <v>41</v>
      </c>
    </row>
    <row r="125" ht="22.5" customHeight="1">
      <c r="A125" s="8" t="s">
        <v>725</v>
      </c>
      <c r="B125" s="8" t="s">
        <v>726</v>
      </c>
      <c r="C125" s="13" t="s">
        <v>727</v>
      </c>
      <c r="D125" s="8" t="s">
        <v>728</v>
      </c>
      <c r="E125" s="8" t="s">
        <v>419</v>
      </c>
      <c r="F125" s="12" t="s">
        <v>132</v>
      </c>
      <c r="G125" s="12" t="s">
        <v>57</v>
      </c>
      <c r="H125" s="12" t="s">
        <v>40</v>
      </c>
      <c r="I125" s="12" t="s">
        <v>50</v>
      </c>
      <c r="J125" s="14">
        <v>350.0</v>
      </c>
      <c r="K125" s="15">
        <v>46230.0</v>
      </c>
      <c r="L125" s="15"/>
      <c r="M125" s="8" t="s">
        <v>107</v>
      </c>
    </row>
    <row r="126" ht="22.5" customHeight="1">
      <c r="A126" s="8" t="s">
        <v>729</v>
      </c>
      <c r="B126" s="8" t="s">
        <v>730</v>
      </c>
      <c r="C126" s="13" t="s">
        <v>731</v>
      </c>
      <c r="D126" s="8" t="s">
        <v>732</v>
      </c>
      <c r="E126" s="8" t="s">
        <v>332</v>
      </c>
      <c r="F126" s="12" t="s">
        <v>283</v>
      </c>
      <c r="G126" s="12" t="s">
        <v>57</v>
      </c>
      <c r="H126" s="12" t="s">
        <v>49</v>
      </c>
      <c r="I126" s="12" t="s">
        <v>134</v>
      </c>
      <c r="J126" s="14">
        <v>750.0</v>
      </c>
      <c r="K126" s="15">
        <v>46139.0</v>
      </c>
      <c r="L126" s="15">
        <v>46161.0</v>
      </c>
      <c r="M126" s="8" t="s">
        <v>30</v>
      </c>
    </row>
    <row r="127" ht="22.5" customHeight="1">
      <c r="A127" s="8" t="s">
        <v>733</v>
      </c>
      <c r="B127" s="8" t="s">
        <v>279</v>
      </c>
      <c r="C127" s="13" t="s">
        <v>734</v>
      </c>
      <c r="D127" s="8" t="s">
        <v>735</v>
      </c>
      <c r="E127" s="8" t="s">
        <v>100</v>
      </c>
      <c r="F127" s="12" t="s">
        <v>38</v>
      </c>
      <c r="G127" s="12" t="s">
        <v>39</v>
      </c>
      <c r="H127" s="12" t="s">
        <v>76</v>
      </c>
      <c r="I127" s="12" t="s">
        <v>29</v>
      </c>
      <c r="J127" s="14">
        <v>750.0</v>
      </c>
      <c r="K127" s="15">
        <v>46058.0</v>
      </c>
      <c r="L127" s="15">
        <v>46091.0</v>
      </c>
    </row>
    <row r="128" ht="22.5" customHeight="1">
      <c r="A128" s="8" t="s">
        <v>736</v>
      </c>
      <c r="B128" s="8" t="s">
        <v>737</v>
      </c>
      <c r="C128" s="13" t="s">
        <v>738</v>
      </c>
      <c r="D128" s="8" t="s">
        <v>739</v>
      </c>
      <c r="E128" s="8" t="s">
        <v>740</v>
      </c>
      <c r="F128" s="12" t="s">
        <v>201</v>
      </c>
      <c r="G128" s="12" t="s">
        <v>106</v>
      </c>
      <c r="H128" s="12" t="s">
        <v>40</v>
      </c>
      <c r="I128" s="12" t="s">
        <v>58</v>
      </c>
      <c r="J128" s="14">
        <v>1200.0</v>
      </c>
      <c r="K128" s="15">
        <v>46218.0</v>
      </c>
      <c r="L128" s="15">
        <v>46221.0</v>
      </c>
      <c r="M128" s="8" t="s">
        <v>95</v>
      </c>
    </row>
    <row r="129" ht="22.5" customHeight="1">
      <c r="A129" s="8" t="s">
        <v>741</v>
      </c>
      <c r="B129" s="8" t="s">
        <v>742</v>
      </c>
      <c r="C129" s="13" t="s">
        <v>743</v>
      </c>
      <c r="D129" s="8" t="s">
        <v>744</v>
      </c>
      <c r="E129" s="8" t="s">
        <v>745</v>
      </c>
      <c r="F129" s="12" t="s">
        <v>38</v>
      </c>
      <c r="G129" s="12" t="s">
        <v>106</v>
      </c>
      <c r="H129" s="12" t="s">
        <v>49</v>
      </c>
      <c r="I129" s="12" t="s">
        <v>65</v>
      </c>
      <c r="J129" s="14">
        <v>3000.0</v>
      </c>
      <c r="K129" s="15">
        <v>46152.0</v>
      </c>
      <c r="L129" s="15">
        <v>46195.0</v>
      </c>
      <c r="M129" s="8" t="s">
        <v>66</v>
      </c>
    </row>
    <row r="130" ht="22.5" customHeight="1">
      <c r="A130" s="8" t="s">
        <v>746</v>
      </c>
      <c r="B130" s="8" t="s">
        <v>747</v>
      </c>
      <c r="C130" s="13" t="s">
        <v>748</v>
      </c>
      <c r="D130" s="8" t="s">
        <v>750</v>
      </c>
      <c r="E130" s="8" t="s">
        <v>751</v>
      </c>
      <c r="F130" s="12" t="s">
        <v>175</v>
      </c>
      <c r="G130" s="12" t="s">
        <v>27</v>
      </c>
      <c r="H130" s="12" t="s">
        <v>49</v>
      </c>
      <c r="I130" s="12" t="s">
        <v>65</v>
      </c>
      <c r="J130" s="14">
        <v>2000.0</v>
      </c>
      <c r="K130" s="15">
        <v>46144.0</v>
      </c>
      <c r="L130" s="15">
        <v>46155.0</v>
      </c>
      <c r="M130" s="8" t="s">
        <v>95</v>
      </c>
    </row>
    <row r="131" ht="22.5" customHeight="1">
      <c r="A131" s="8" t="s">
        <v>752</v>
      </c>
      <c r="B131" s="8" t="s">
        <v>753</v>
      </c>
      <c r="C131" s="13" t="s">
        <v>754</v>
      </c>
      <c r="D131" s="8" t="s">
        <v>755</v>
      </c>
      <c r="E131" s="8" t="s">
        <v>483</v>
      </c>
      <c r="F131" s="12" t="s">
        <v>201</v>
      </c>
      <c r="G131" s="12" t="s">
        <v>57</v>
      </c>
      <c r="H131" s="12" t="s">
        <v>217</v>
      </c>
      <c r="I131" s="12" t="s">
        <v>134</v>
      </c>
      <c r="J131" s="14">
        <v>1500.0</v>
      </c>
      <c r="K131" s="15">
        <v>46102.0</v>
      </c>
      <c r="L131" s="15">
        <v>46117.0</v>
      </c>
      <c r="M131" s="8" t="s">
        <v>30</v>
      </c>
    </row>
    <row r="132" ht="22.5" customHeight="1">
      <c r="A132" s="8" t="s">
        <v>756</v>
      </c>
      <c r="B132" s="8" t="s">
        <v>234</v>
      </c>
      <c r="C132" s="13" t="s">
        <v>757</v>
      </c>
      <c r="D132" s="8" t="s">
        <v>759</v>
      </c>
      <c r="E132" s="8" t="s">
        <v>760</v>
      </c>
      <c r="F132" s="12" t="s">
        <v>283</v>
      </c>
      <c r="G132" s="12" t="s">
        <v>106</v>
      </c>
      <c r="H132" s="12" t="s">
        <v>40</v>
      </c>
      <c r="I132" s="12" t="s">
        <v>29</v>
      </c>
      <c r="J132" s="14"/>
      <c r="K132" s="15">
        <v>46156.0</v>
      </c>
      <c r="L132" s="15">
        <v>46174.0</v>
      </c>
      <c r="M132" s="8" t="s">
        <v>95</v>
      </c>
    </row>
    <row r="133" ht="22.5" customHeight="1">
      <c r="A133" s="8" t="s">
        <v>764</v>
      </c>
      <c r="B133" s="8" t="s">
        <v>300</v>
      </c>
      <c r="C133" s="13" t="s">
        <v>765</v>
      </c>
      <c r="D133" s="8" t="s">
        <v>768</v>
      </c>
      <c r="E133" s="8" t="s">
        <v>769</v>
      </c>
      <c r="F133" s="12" t="s">
        <v>283</v>
      </c>
      <c r="G133" s="12" t="s">
        <v>133</v>
      </c>
      <c r="H133" s="12" t="s">
        <v>49</v>
      </c>
      <c r="I133" s="12" t="s">
        <v>77</v>
      </c>
      <c r="J133" s="14">
        <v>350.0</v>
      </c>
      <c r="K133" s="15">
        <v>46156.0</v>
      </c>
      <c r="L133" s="15">
        <v>46159.0</v>
      </c>
      <c r="M133" s="8" t="s">
        <v>30</v>
      </c>
    </row>
    <row r="134" ht="22.5" customHeight="1">
      <c r="A134" s="8" t="s">
        <v>772</v>
      </c>
      <c r="B134" s="8" t="s">
        <v>773</v>
      </c>
      <c r="C134" s="13" t="s">
        <v>774</v>
      </c>
      <c r="D134" s="8" t="s">
        <v>778</v>
      </c>
      <c r="E134" s="8" t="s">
        <v>779</v>
      </c>
      <c r="F134" s="12" t="s">
        <v>220</v>
      </c>
      <c r="G134" s="12" t="s">
        <v>48</v>
      </c>
      <c r="H134" s="12" t="s">
        <v>49</v>
      </c>
      <c r="I134" s="12" t="s">
        <v>134</v>
      </c>
      <c r="J134" s="14">
        <v>4500.0</v>
      </c>
      <c r="K134" s="15">
        <v>46155.0</v>
      </c>
      <c r="L134" s="15">
        <v>46197.0</v>
      </c>
      <c r="M134" s="8" t="s">
        <v>66</v>
      </c>
    </row>
    <row r="135" ht="22.5" customHeight="1">
      <c r="A135" s="8" t="s">
        <v>780</v>
      </c>
      <c r="B135" s="8" t="s">
        <v>781</v>
      </c>
      <c r="C135" s="13" t="s">
        <v>782</v>
      </c>
      <c r="D135" s="8" t="s">
        <v>783</v>
      </c>
      <c r="E135" s="8" t="s">
        <v>184</v>
      </c>
      <c r="F135" s="12" t="s">
        <v>1029</v>
      </c>
      <c r="G135" s="12" t="s">
        <v>57</v>
      </c>
      <c r="H135" s="12" t="s">
        <v>76</v>
      </c>
      <c r="I135" s="12" t="s">
        <v>77</v>
      </c>
      <c r="J135" s="14">
        <v>500.0</v>
      </c>
      <c r="K135" s="15">
        <v>46249.0</v>
      </c>
      <c r="L135" s="15">
        <v>46259.0</v>
      </c>
    </row>
    <row r="136" ht="22.5" customHeight="1">
      <c r="A136" s="8" t="s">
        <v>784</v>
      </c>
      <c r="B136" s="8" t="s">
        <v>785</v>
      </c>
      <c r="C136" s="52"/>
      <c r="D136" s="8" t="s">
        <v>786</v>
      </c>
      <c r="E136" s="8" t="s">
        <v>562</v>
      </c>
      <c r="F136" s="12" t="s">
        <v>38</v>
      </c>
      <c r="G136" s="12" t="s">
        <v>106</v>
      </c>
      <c r="H136" s="12" t="s">
        <v>40</v>
      </c>
      <c r="I136" s="12" t="s">
        <v>50</v>
      </c>
      <c r="J136" s="14">
        <v>1200.0</v>
      </c>
      <c r="K136" s="15">
        <v>46226.0</v>
      </c>
      <c r="L136" s="15">
        <v>46259.0</v>
      </c>
      <c r="M136" s="8" t="s">
        <v>107</v>
      </c>
    </row>
    <row r="137" ht="22.5" customHeight="1">
      <c r="A137" s="8" t="s">
        <v>787</v>
      </c>
      <c r="B137" s="8" t="s">
        <v>219</v>
      </c>
      <c r="C137" s="13" t="s">
        <v>788</v>
      </c>
      <c r="D137" s="8" t="s">
        <v>789</v>
      </c>
      <c r="E137" s="8" t="s">
        <v>462</v>
      </c>
      <c r="F137" s="12" t="s">
        <v>140</v>
      </c>
      <c r="G137" s="12" t="s">
        <v>57</v>
      </c>
      <c r="H137" s="12" t="s">
        <v>49</v>
      </c>
      <c r="I137" s="12" t="s">
        <v>58</v>
      </c>
      <c r="J137" s="14"/>
      <c r="K137" s="15">
        <v>46208.0</v>
      </c>
      <c r="L137" s="15">
        <v>46245.0</v>
      </c>
      <c r="M137" s="8" t="s">
        <v>30</v>
      </c>
    </row>
    <row r="138" ht="22.5" customHeight="1">
      <c r="A138" s="8" t="s">
        <v>790</v>
      </c>
      <c r="B138" s="8" t="s">
        <v>791</v>
      </c>
      <c r="C138" s="13" t="s">
        <v>792</v>
      </c>
      <c r="D138" s="8" t="s">
        <v>793</v>
      </c>
      <c r="E138" s="8" t="s">
        <v>228</v>
      </c>
      <c r="F138" s="12" t="s">
        <v>216</v>
      </c>
      <c r="G138" s="12" t="s">
        <v>133</v>
      </c>
      <c r="H138" s="12" t="s">
        <v>40</v>
      </c>
      <c r="I138" s="12" t="s">
        <v>65</v>
      </c>
      <c r="J138" s="14"/>
      <c r="K138" s="15">
        <v>46226.0</v>
      </c>
      <c r="L138" s="15">
        <v>46238.0</v>
      </c>
      <c r="M138" s="8" t="s">
        <v>30</v>
      </c>
    </row>
    <row r="139" ht="22.5" customHeight="1">
      <c r="A139" s="8" t="s">
        <v>794</v>
      </c>
      <c r="B139" s="8" t="s">
        <v>795</v>
      </c>
      <c r="C139" s="13" t="s">
        <v>796</v>
      </c>
      <c r="D139" s="8" t="s">
        <v>797</v>
      </c>
      <c r="E139" s="8" t="s">
        <v>332</v>
      </c>
      <c r="F139" s="12" t="s">
        <v>132</v>
      </c>
      <c r="G139" s="12" t="s">
        <v>57</v>
      </c>
      <c r="H139" s="12" t="s">
        <v>217</v>
      </c>
      <c r="I139" s="12" t="s">
        <v>65</v>
      </c>
      <c r="J139" s="14">
        <v>750.0</v>
      </c>
      <c r="K139" s="15">
        <v>46198.0</v>
      </c>
      <c r="L139" s="15">
        <v>46236.0</v>
      </c>
      <c r="M139" s="8" t="s">
        <v>41</v>
      </c>
    </row>
    <row r="140" ht="22.5" customHeight="1">
      <c r="A140" s="8" t="s">
        <v>798</v>
      </c>
      <c r="B140" s="8" t="s">
        <v>799</v>
      </c>
      <c r="C140" s="13" t="s">
        <v>800</v>
      </c>
      <c r="D140" s="8" t="s">
        <v>801</v>
      </c>
      <c r="E140" s="8" t="s">
        <v>145</v>
      </c>
      <c r="F140" s="12" t="s">
        <v>47</v>
      </c>
      <c r="G140" s="12" t="s">
        <v>27</v>
      </c>
      <c r="H140" s="12" t="s">
        <v>49</v>
      </c>
      <c r="I140" s="12" t="s">
        <v>134</v>
      </c>
      <c r="J140" s="14">
        <v>4500.0</v>
      </c>
      <c r="K140" s="15">
        <v>46085.0</v>
      </c>
      <c r="L140" s="15">
        <v>46111.0</v>
      </c>
      <c r="M140" s="8" t="s">
        <v>66</v>
      </c>
    </row>
    <row r="141" ht="22.5" customHeight="1">
      <c r="A141" s="8" t="s">
        <v>802</v>
      </c>
      <c r="B141" s="8" t="s">
        <v>803</v>
      </c>
      <c r="C141" s="13" t="s">
        <v>804</v>
      </c>
      <c r="D141" s="8" t="s">
        <v>805</v>
      </c>
      <c r="E141" s="8" t="s">
        <v>112</v>
      </c>
      <c r="F141" s="12" t="s">
        <v>220</v>
      </c>
      <c r="G141" s="12" t="s">
        <v>133</v>
      </c>
      <c r="H141" s="12" t="s">
        <v>76</v>
      </c>
      <c r="I141" s="12" t="s">
        <v>65</v>
      </c>
      <c r="J141" s="14">
        <v>350.0</v>
      </c>
      <c r="K141" s="15">
        <v>46089.0</v>
      </c>
      <c r="L141" s="15">
        <v>46098.0</v>
      </c>
      <c r="M141" s="8" t="s">
        <v>41</v>
      </c>
    </row>
    <row r="142" ht="22.5" customHeight="1">
      <c r="A142" s="8" t="s">
        <v>806</v>
      </c>
      <c r="B142" s="8" t="s">
        <v>807</v>
      </c>
      <c r="C142" s="52" t="s">
        <v>808</v>
      </c>
      <c r="D142" s="8" t="s">
        <v>809</v>
      </c>
      <c r="E142" s="8" t="s">
        <v>215</v>
      </c>
      <c r="F142" s="12" t="s">
        <v>47</v>
      </c>
      <c r="G142" s="12" t="s">
        <v>133</v>
      </c>
      <c r="H142" s="12" t="s">
        <v>49</v>
      </c>
      <c r="I142" s="12" t="s">
        <v>1028</v>
      </c>
      <c r="J142" s="14">
        <v>2500.0</v>
      </c>
      <c r="K142" s="15">
        <v>46228.0</v>
      </c>
      <c r="L142" s="15">
        <v>46239.0</v>
      </c>
      <c r="M142" s="8" t="s">
        <v>41</v>
      </c>
    </row>
    <row r="143" ht="22.5" customHeight="1">
      <c r="A143" s="8" t="s">
        <v>810</v>
      </c>
      <c r="B143" s="8" t="s">
        <v>811</v>
      </c>
      <c r="C143" s="52"/>
      <c r="D143" s="8" t="s">
        <v>812</v>
      </c>
      <c r="E143" s="8" t="s">
        <v>173</v>
      </c>
      <c r="F143" s="12" t="s">
        <v>220</v>
      </c>
      <c r="G143" s="12" t="s">
        <v>27</v>
      </c>
      <c r="H143" s="12" t="s">
        <v>49</v>
      </c>
      <c r="I143" s="12" t="s">
        <v>50</v>
      </c>
      <c r="J143" s="14">
        <v>2000.0</v>
      </c>
      <c r="K143" s="15">
        <v>46227.0</v>
      </c>
      <c r="L143" s="15">
        <v>46240.0</v>
      </c>
      <c r="M143" s="8" t="s">
        <v>30</v>
      </c>
    </row>
    <row r="144" ht="22.5" customHeight="1">
      <c r="A144" s="8" t="s">
        <v>813</v>
      </c>
      <c r="B144" s="8" t="s">
        <v>667</v>
      </c>
      <c r="C144" s="13" t="s">
        <v>814</v>
      </c>
      <c r="D144" s="8" t="s">
        <v>815</v>
      </c>
      <c r="E144" s="8" t="s">
        <v>816</v>
      </c>
      <c r="F144" s="12" t="s">
        <v>132</v>
      </c>
      <c r="G144" s="12" t="s">
        <v>57</v>
      </c>
      <c r="H144" s="12" t="s">
        <v>28</v>
      </c>
      <c r="I144" s="12" t="s">
        <v>65</v>
      </c>
      <c r="J144" s="14">
        <v>4500.0</v>
      </c>
      <c r="K144" s="15">
        <v>46116.0</v>
      </c>
      <c r="L144" s="15">
        <v>46135.0</v>
      </c>
      <c r="M144" s="8" t="s">
        <v>66</v>
      </c>
    </row>
    <row r="145" ht="22.5" customHeight="1">
      <c r="A145" s="8" t="s">
        <v>817</v>
      </c>
      <c r="B145" s="8" t="s">
        <v>818</v>
      </c>
      <c r="C145" s="13" t="s">
        <v>819</v>
      </c>
      <c r="D145" s="8" t="s">
        <v>820</v>
      </c>
      <c r="E145" s="8" t="s">
        <v>173</v>
      </c>
      <c r="F145" s="12" t="s">
        <v>47</v>
      </c>
      <c r="G145" s="12" t="s">
        <v>27</v>
      </c>
      <c r="H145" s="12" t="s">
        <v>28</v>
      </c>
      <c r="I145" s="12" t="s">
        <v>77</v>
      </c>
      <c r="J145" s="14">
        <v>2500.0</v>
      </c>
      <c r="K145" s="15">
        <v>46046.0</v>
      </c>
      <c r="L145" s="15">
        <v>46051.0</v>
      </c>
      <c r="M145" s="8" t="s">
        <v>41</v>
      </c>
    </row>
    <row r="146" ht="22.5" customHeight="1">
      <c r="A146" s="8" t="s">
        <v>821</v>
      </c>
      <c r="B146" s="8" t="s">
        <v>822</v>
      </c>
      <c r="C146" s="13" t="s">
        <v>823</v>
      </c>
      <c r="D146" s="8" t="s">
        <v>824</v>
      </c>
      <c r="E146" s="8" t="s">
        <v>509</v>
      </c>
      <c r="F146" s="12" t="s">
        <v>175</v>
      </c>
      <c r="G146" s="12" t="s">
        <v>27</v>
      </c>
      <c r="H146" s="12" t="s">
        <v>217</v>
      </c>
      <c r="I146" s="12" t="s">
        <v>134</v>
      </c>
      <c r="J146" s="14">
        <v>900.0</v>
      </c>
      <c r="K146" s="15">
        <v>46123.0</v>
      </c>
      <c r="L146" s="15">
        <v>46126.0</v>
      </c>
      <c r="M146" s="8" t="s">
        <v>41</v>
      </c>
    </row>
    <row r="147" ht="22.5" customHeight="1">
      <c r="A147" s="8" t="s">
        <v>825</v>
      </c>
      <c r="B147" s="8" t="s">
        <v>441</v>
      </c>
      <c r="C147" s="13" t="s">
        <v>826</v>
      </c>
      <c r="D147" s="8" t="s">
        <v>827</v>
      </c>
      <c r="F147" s="12" t="s">
        <v>175</v>
      </c>
      <c r="G147" s="12" t="s">
        <v>39</v>
      </c>
      <c r="H147" s="12" t="s">
        <v>28</v>
      </c>
      <c r="I147" s="12" t="s">
        <v>65</v>
      </c>
      <c r="J147" s="14">
        <v>350.0</v>
      </c>
      <c r="K147" s="15">
        <v>46212.0</v>
      </c>
      <c r="L147" s="15">
        <v>46252.0</v>
      </c>
      <c r="M147" s="8" t="s">
        <v>95</v>
      </c>
    </row>
    <row r="148" ht="22.5" customHeight="1">
      <c r="A148" s="8" t="s">
        <v>828</v>
      </c>
      <c r="B148" s="8" t="s">
        <v>829</v>
      </c>
      <c r="C148" s="13" t="s">
        <v>830</v>
      </c>
      <c r="D148" s="8" t="s">
        <v>831</v>
      </c>
      <c r="E148" s="8" t="s">
        <v>832</v>
      </c>
      <c r="F148" s="12" t="s">
        <v>132</v>
      </c>
      <c r="G148" s="12" t="s">
        <v>106</v>
      </c>
      <c r="H148" s="12" t="s">
        <v>76</v>
      </c>
      <c r="I148" s="12" t="s">
        <v>134</v>
      </c>
      <c r="J148" s="14">
        <v>500.0</v>
      </c>
      <c r="K148" s="15">
        <v>46028.0</v>
      </c>
      <c r="L148" s="15">
        <v>46040.0</v>
      </c>
      <c r="M148" s="8" t="s">
        <v>107</v>
      </c>
    </row>
    <row r="149" ht="22.5" customHeight="1">
      <c r="A149" s="8" t="s">
        <v>833</v>
      </c>
      <c r="B149" s="8" t="s">
        <v>834</v>
      </c>
      <c r="C149" s="13" t="s">
        <v>835</v>
      </c>
      <c r="D149" s="8" t="s">
        <v>836</v>
      </c>
      <c r="E149" s="8" t="s">
        <v>190</v>
      </c>
      <c r="F149" s="12" t="s">
        <v>283</v>
      </c>
      <c r="G149" s="12" t="s">
        <v>106</v>
      </c>
      <c r="H149" s="12" t="s">
        <v>217</v>
      </c>
      <c r="I149" s="12" t="s">
        <v>77</v>
      </c>
      <c r="J149" s="14">
        <v>1500.0</v>
      </c>
      <c r="K149" s="15">
        <v>46104.0</v>
      </c>
      <c r="L149" s="15">
        <v>46135.0</v>
      </c>
      <c r="M149" s="8" t="s">
        <v>95</v>
      </c>
    </row>
    <row r="150" ht="22.5" customHeight="1">
      <c r="A150" s="8" t="s">
        <v>837</v>
      </c>
      <c r="B150" s="8" t="s">
        <v>737</v>
      </c>
      <c r="C150" s="13" t="s">
        <v>838</v>
      </c>
      <c r="D150" s="8" t="s">
        <v>839</v>
      </c>
      <c r="E150" s="8" t="s">
        <v>840</v>
      </c>
      <c r="F150" s="12" t="s">
        <v>175</v>
      </c>
      <c r="G150" s="12" t="s">
        <v>106</v>
      </c>
      <c r="H150" s="12" t="s">
        <v>217</v>
      </c>
      <c r="I150" s="12" t="s">
        <v>58</v>
      </c>
      <c r="J150" s="14">
        <v>500.0</v>
      </c>
      <c r="K150" s="15">
        <v>46034.0</v>
      </c>
      <c r="L150" s="15">
        <v>46042.0</v>
      </c>
      <c r="M150" s="8" t="s">
        <v>66</v>
      </c>
    </row>
    <row r="151" ht="22.5" customHeight="1">
      <c r="A151" s="8" t="s">
        <v>841</v>
      </c>
      <c r="B151" s="8" t="s">
        <v>842</v>
      </c>
      <c r="C151" s="13" t="s">
        <v>843</v>
      </c>
      <c r="D151" s="8" t="s">
        <v>844</v>
      </c>
      <c r="E151" s="8" t="s">
        <v>259</v>
      </c>
      <c r="F151" s="12" t="s">
        <v>283</v>
      </c>
      <c r="G151" s="12" t="s">
        <v>106</v>
      </c>
      <c r="H151" s="12" t="s">
        <v>40</v>
      </c>
      <c r="I151" s="12" t="s">
        <v>50</v>
      </c>
      <c r="J151" s="14">
        <v>1500.0</v>
      </c>
      <c r="K151" s="15">
        <v>46068.0</v>
      </c>
      <c r="L151" s="15">
        <v>46087.0</v>
      </c>
    </row>
    <row r="152" ht="22.5" customHeight="1">
      <c r="A152" s="8" t="s">
        <v>845</v>
      </c>
      <c r="B152" s="8" t="s">
        <v>846</v>
      </c>
      <c r="C152" s="13" t="s">
        <v>847</v>
      </c>
      <c r="D152" s="8" t="s">
        <v>848</v>
      </c>
      <c r="E152" s="8" t="s">
        <v>25</v>
      </c>
      <c r="F152" s="12" t="s">
        <v>220</v>
      </c>
      <c r="G152" s="12" t="s">
        <v>133</v>
      </c>
      <c r="H152" s="12" t="s">
        <v>49</v>
      </c>
      <c r="I152" s="12" t="s">
        <v>77</v>
      </c>
      <c r="J152" s="14">
        <v>750.0</v>
      </c>
      <c r="K152" s="15">
        <v>46137.0</v>
      </c>
      <c r="L152" s="15">
        <v>46153.0</v>
      </c>
      <c r="M152" s="8" t="s">
        <v>107</v>
      </c>
    </row>
    <row r="153" ht="22.5" customHeight="1">
      <c r="A153" s="8" t="s">
        <v>849</v>
      </c>
      <c r="B153" s="8" t="s">
        <v>517</v>
      </c>
      <c r="C153" s="13" t="s">
        <v>850</v>
      </c>
      <c r="D153" s="8" t="s">
        <v>851</v>
      </c>
      <c r="E153" s="8" t="s">
        <v>852</v>
      </c>
      <c r="F153" s="12" t="s">
        <v>132</v>
      </c>
      <c r="G153" s="12" t="s">
        <v>27</v>
      </c>
      <c r="H153" s="12" t="s">
        <v>28</v>
      </c>
      <c r="I153" s="12" t="s">
        <v>134</v>
      </c>
      <c r="J153" s="14">
        <v>2500.0</v>
      </c>
      <c r="K153" s="15">
        <v>46189.0</v>
      </c>
      <c r="L153" s="15">
        <v>46223.0</v>
      </c>
      <c r="M153" s="8" t="s">
        <v>95</v>
      </c>
    </row>
    <row r="154" ht="22.5" customHeight="1">
      <c r="A154" s="8" t="s">
        <v>853</v>
      </c>
      <c r="B154" s="8" t="s">
        <v>854</v>
      </c>
      <c r="C154" s="13" t="s">
        <v>855</v>
      </c>
      <c r="D154" s="8" t="s">
        <v>856</v>
      </c>
      <c r="E154" s="8" t="s">
        <v>857</v>
      </c>
      <c r="F154" s="12" t="s">
        <v>132</v>
      </c>
      <c r="G154" s="12" t="s">
        <v>39</v>
      </c>
      <c r="H154" s="12" t="s">
        <v>28</v>
      </c>
      <c r="I154" s="12" t="s">
        <v>134</v>
      </c>
      <c r="J154" s="14">
        <v>900.0</v>
      </c>
      <c r="K154" s="15">
        <v>46040.0</v>
      </c>
      <c r="L154" s="15">
        <v>46078.0</v>
      </c>
      <c r="M154" s="8" t="s">
        <v>30</v>
      </c>
    </row>
    <row r="155" ht="22.5" customHeight="1">
      <c r="A155" s="8" t="s">
        <v>858</v>
      </c>
      <c r="B155" s="8" t="s">
        <v>859</v>
      </c>
      <c r="C155" s="13" t="s">
        <v>860</v>
      </c>
      <c r="D155" s="8" t="s">
        <v>861</v>
      </c>
      <c r="E155" s="8" t="s">
        <v>131</v>
      </c>
      <c r="F155" s="12" t="s">
        <v>283</v>
      </c>
      <c r="G155" s="12" t="s">
        <v>106</v>
      </c>
      <c r="H155" s="12" t="s">
        <v>49</v>
      </c>
      <c r="I155" s="12" t="s">
        <v>58</v>
      </c>
      <c r="J155" s="14">
        <v>4500.0</v>
      </c>
      <c r="K155" s="15">
        <v>46260.0</v>
      </c>
      <c r="L155" s="15">
        <v>46272.0</v>
      </c>
      <c r="M155" s="8" t="s">
        <v>30</v>
      </c>
    </row>
    <row r="156" ht="22.5" customHeight="1">
      <c r="A156" s="8" t="s">
        <v>862</v>
      </c>
      <c r="B156" s="8" t="s">
        <v>863</v>
      </c>
      <c r="C156" s="13" t="s">
        <v>864</v>
      </c>
      <c r="E156" s="8" t="s">
        <v>865</v>
      </c>
      <c r="F156" s="12" t="s">
        <v>132</v>
      </c>
      <c r="G156" s="12" t="s">
        <v>106</v>
      </c>
      <c r="H156" s="12" t="s">
        <v>49</v>
      </c>
      <c r="I156" s="12" t="s">
        <v>134</v>
      </c>
      <c r="J156" s="14"/>
      <c r="K156" s="15">
        <v>46173.0</v>
      </c>
      <c r="L156" s="15">
        <v>46215.0</v>
      </c>
      <c r="M156" s="8" t="s">
        <v>30</v>
      </c>
    </row>
    <row r="157" ht="22.5" customHeight="1">
      <c r="A157" s="8" t="s">
        <v>866</v>
      </c>
      <c r="B157" s="8" t="s">
        <v>867</v>
      </c>
      <c r="C157" s="13" t="s">
        <v>868</v>
      </c>
      <c r="D157" s="8" t="s">
        <v>869</v>
      </c>
      <c r="E157" s="8" t="s">
        <v>852</v>
      </c>
      <c r="F157" s="12" t="s">
        <v>220</v>
      </c>
      <c r="G157" s="12" t="s">
        <v>27</v>
      </c>
      <c r="H157" s="12" t="s">
        <v>217</v>
      </c>
      <c r="I157" s="12" t="s">
        <v>58</v>
      </c>
      <c r="J157" s="14">
        <v>2000.0</v>
      </c>
      <c r="K157" s="15">
        <v>46114.0</v>
      </c>
      <c r="L157" s="15">
        <v>46148.0</v>
      </c>
    </row>
    <row r="158" ht="22.5" customHeight="1">
      <c r="A158" s="8" t="s">
        <v>870</v>
      </c>
      <c r="B158" s="8" t="s">
        <v>871</v>
      </c>
      <c r="C158" s="13" t="s">
        <v>872</v>
      </c>
      <c r="D158" s="8" t="s">
        <v>873</v>
      </c>
      <c r="E158" s="8" t="s">
        <v>419</v>
      </c>
      <c r="F158" s="12" t="s">
        <v>175</v>
      </c>
      <c r="G158" s="12" t="s">
        <v>48</v>
      </c>
      <c r="H158" s="12" t="s">
        <v>217</v>
      </c>
      <c r="I158" s="12" t="s">
        <v>77</v>
      </c>
      <c r="J158" s="14">
        <v>350.0</v>
      </c>
      <c r="K158" s="15">
        <v>46137.0</v>
      </c>
      <c r="L158" s="15">
        <v>46158.0</v>
      </c>
      <c r="M158" s="8" t="s">
        <v>66</v>
      </c>
    </row>
    <row r="159" ht="22.5" customHeight="1">
      <c r="A159" s="8" t="s">
        <v>874</v>
      </c>
      <c r="B159" s="8" t="s">
        <v>875</v>
      </c>
      <c r="C159" s="13" t="s">
        <v>877</v>
      </c>
      <c r="D159" s="8" t="s">
        <v>878</v>
      </c>
      <c r="E159" s="8" t="s">
        <v>879</v>
      </c>
      <c r="F159" s="12" t="s">
        <v>201</v>
      </c>
      <c r="G159" s="12" t="s">
        <v>48</v>
      </c>
      <c r="H159" s="12" t="s">
        <v>40</v>
      </c>
      <c r="I159" s="12" t="s">
        <v>50</v>
      </c>
      <c r="J159" s="14">
        <v>1200.0</v>
      </c>
      <c r="K159" s="15">
        <v>46047.0</v>
      </c>
      <c r="L159" s="15">
        <v>46067.0</v>
      </c>
      <c r="M159" s="8" t="s">
        <v>107</v>
      </c>
    </row>
    <row r="160" ht="22.5" customHeight="1">
      <c r="A160" s="8" t="s">
        <v>880</v>
      </c>
      <c r="B160" s="8" t="s">
        <v>881</v>
      </c>
      <c r="C160" s="13" t="s">
        <v>882</v>
      </c>
      <c r="D160" s="8" t="s">
        <v>883</v>
      </c>
      <c r="E160" s="8" t="s">
        <v>576</v>
      </c>
      <c r="F160" s="12" t="s">
        <v>201</v>
      </c>
      <c r="G160" s="12" t="s">
        <v>57</v>
      </c>
      <c r="H160" s="12" t="s">
        <v>28</v>
      </c>
      <c r="I160" s="12" t="s">
        <v>609</v>
      </c>
      <c r="J160" s="14">
        <v>350.0</v>
      </c>
      <c r="K160" s="15">
        <v>46043.0</v>
      </c>
      <c r="L160" s="15">
        <v>46081.0</v>
      </c>
      <c r="M160" s="8" t="s">
        <v>41</v>
      </c>
    </row>
    <row r="161" ht="22.5" customHeight="1">
      <c r="A161" s="8" t="s">
        <v>884</v>
      </c>
      <c r="B161" s="8" t="s">
        <v>885</v>
      </c>
      <c r="C161" s="13" t="s">
        <v>886</v>
      </c>
      <c r="D161" s="8" t="s">
        <v>887</v>
      </c>
      <c r="E161" s="8" t="s">
        <v>554</v>
      </c>
      <c r="F161" s="12" t="s">
        <v>38</v>
      </c>
      <c r="G161" s="12" t="s">
        <v>39</v>
      </c>
      <c r="H161" s="12" t="s">
        <v>76</v>
      </c>
      <c r="I161" s="12" t="s">
        <v>58</v>
      </c>
      <c r="J161" s="14"/>
      <c r="K161" s="15">
        <v>46219.0</v>
      </c>
      <c r="L161" s="15">
        <v>46261.0</v>
      </c>
      <c r="M161" s="8" t="s">
        <v>41</v>
      </c>
    </row>
    <row r="162" ht="22.5" customHeight="1">
      <c r="A162" s="8" t="s">
        <v>888</v>
      </c>
      <c r="B162" s="8" t="s">
        <v>889</v>
      </c>
      <c r="C162" s="13" t="s">
        <v>890</v>
      </c>
      <c r="D162" s="8" t="s">
        <v>891</v>
      </c>
      <c r="E162" s="8" t="s">
        <v>892</v>
      </c>
      <c r="F162" s="12" t="s">
        <v>120</v>
      </c>
      <c r="G162" s="12" t="s">
        <v>57</v>
      </c>
      <c r="H162" s="12" t="s">
        <v>28</v>
      </c>
      <c r="I162" s="12" t="s">
        <v>134</v>
      </c>
      <c r="J162" s="14"/>
      <c r="K162" s="15">
        <v>46233.0</v>
      </c>
      <c r="L162" s="15">
        <v>46254.0</v>
      </c>
      <c r="M162" s="8" t="s">
        <v>66</v>
      </c>
    </row>
    <row r="163" ht="22.5" customHeight="1">
      <c r="A163" s="8" t="s">
        <v>893</v>
      </c>
      <c r="B163" s="8" t="s">
        <v>894</v>
      </c>
      <c r="C163" s="13" t="s">
        <v>895</v>
      </c>
      <c r="D163" s="8" t="s">
        <v>896</v>
      </c>
      <c r="E163" s="8" t="s">
        <v>897</v>
      </c>
      <c r="F163" s="12" t="s">
        <v>120</v>
      </c>
      <c r="G163" s="12" t="s">
        <v>27</v>
      </c>
      <c r="H163" s="12" t="s">
        <v>49</v>
      </c>
      <c r="I163" s="12" t="s">
        <v>134</v>
      </c>
      <c r="J163" s="14">
        <v>4500.0</v>
      </c>
      <c r="K163" s="15">
        <v>46212.0</v>
      </c>
      <c r="L163" s="15">
        <v>46257.0</v>
      </c>
    </row>
    <row r="164" ht="22.5" customHeight="1">
      <c r="A164" s="8" t="s">
        <v>898</v>
      </c>
      <c r="B164" s="8" t="s">
        <v>899</v>
      </c>
      <c r="C164" s="13" t="s">
        <v>900</v>
      </c>
      <c r="D164" s="8" t="s">
        <v>901</v>
      </c>
      <c r="E164" s="8" t="s">
        <v>228</v>
      </c>
      <c r="F164" s="12" t="s">
        <v>120</v>
      </c>
      <c r="G164" s="12" t="s">
        <v>106</v>
      </c>
      <c r="H164" s="12" t="s">
        <v>49</v>
      </c>
      <c r="I164" s="12" t="s">
        <v>29</v>
      </c>
      <c r="J164" s="14">
        <v>1200.0</v>
      </c>
      <c r="K164" s="15">
        <v>46130.0</v>
      </c>
      <c r="L164" s="15">
        <v>46169.0</v>
      </c>
      <c r="M164" s="8" t="s">
        <v>30</v>
      </c>
    </row>
    <row r="165" ht="22.5" customHeight="1">
      <c r="A165" s="8" t="s">
        <v>902</v>
      </c>
      <c r="B165" s="8" t="s">
        <v>903</v>
      </c>
      <c r="C165" s="13" t="s">
        <v>904</v>
      </c>
      <c r="E165" s="8" t="s">
        <v>325</v>
      </c>
      <c r="F165" s="12" t="s">
        <v>220</v>
      </c>
      <c r="G165" s="12" t="s">
        <v>27</v>
      </c>
      <c r="H165" s="12" t="s">
        <v>28</v>
      </c>
      <c r="I165" s="12" t="s">
        <v>77</v>
      </c>
      <c r="J165" s="14">
        <v>750.0</v>
      </c>
      <c r="K165" s="15">
        <v>46255.0</v>
      </c>
      <c r="L165" s="15">
        <v>46264.0</v>
      </c>
    </row>
    <row r="166" ht="22.5" customHeight="1">
      <c r="A166" s="8" t="s">
        <v>905</v>
      </c>
      <c r="B166" s="8" t="s">
        <v>906</v>
      </c>
      <c r="C166" s="13" t="s">
        <v>907</v>
      </c>
      <c r="D166" s="8" t="s">
        <v>908</v>
      </c>
      <c r="E166" s="8" t="s">
        <v>909</v>
      </c>
      <c r="F166" s="12" t="s">
        <v>201</v>
      </c>
      <c r="G166" s="12" t="s">
        <v>106</v>
      </c>
      <c r="H166" s="12" t="s">
        <v>40</v>
      </c>
      <c r="I166" s="12" t="s">
        <v>29</v>
      </c>
      <c r="J166" s="14">
        <v>750.0</v>
      </c>
      <c r="K166" s="15">
        <v>46127.0</v>
      </c>
      <c r="L166" s="15">
        <v>46168.0</v>
      </c>
    </row>
    <row r="167" ht="22.5" customHeight="1">
      <c r="A167" s="8" t="s">
        <v>910</v>
      </c>
      <c r="B167" s="8" t="s">
        <v>911</v>
      </c>
      <c r="C167" s="13" t="s">
        <v>912</v>
      </c>
      <c r="D167" s="8" t="s">
        <v>913</v>
      </c>
      <c r="E167" s="8" t="s">
        <v>760</v>
      </c>
      <c r="F167" s="12" t="s">
        <v>283</v>
      </c>
      <c r="G167" s="12" t="s">
        <v>27</v>
      </c>
      <c r="H167" s="12" t="s">
        <v>40</v>
      </c>
      <c r="I167" s="12" t="s">
        <v>77</v>
      </c>
      <c r="J167" s="14">
        <v>2000.0</v>
      </c>
      <c r="K167" s="15">
        <v>46238.0</v>
      </c>
      <c r="L167" s="15">
        <v>46263.0</v>
      </c>
      <c r="M167" s="8" t="s">
        <v>66</v>
      </c>
    </row>
    <row r="168" ht="22.5" customHeight="1">
      <c r="A168" s="8" t="s">
        <v>914</v>
      </c>
      <c r="B168" s="8" t="s">
        <v>915</v>
      </c>
      <c r="C168" s="13" t="s">
        <v>916</v>
      </c>
      <c r="D168" s="8" t="s">
        <v>917</v>
      </c>
      <c r="E168" s="8" t="s">
        <v>266</v>
      </c>
      <c r="F168" s="12" t="s">
        <v>220</v>
      </c>
      <c r="G168" s="12" t="s">
        <v>39</v>
      </c>
      <c r="H168" s="12" t="s">
        <v>40</v>
      </c>
      <c r="I168" s="12" t="s">
        <v>58</v>
      </c>
      <c r="J168" s="14">
        <v>750.0</v>
      </c>
      <c r="K168" s="15">
        <v>46100.0</v>
      </c>
      <c r="L168" s="15">
        <v>46104.0</v>
      </c>
      <c r="M168" s="8" t="s">
        <v>41</v>
      </c>
    </row>
    <row r="169" ht="22.5" customHeight="1">
      <c r="A169" s="8" t="s">
        <v>918</v>
      </c>
      <c r="B169" s="8" t="s">
        <v>863</v>
      </c>
      <c r="C169" s="52" t="s">
        <v>919</v>
      </c>
      <c r="D169" s="8" t="s">
        <v>920</v>
      </c>
      <c r="E169" s="8" t="s">
        <v>223</v>
      </c>
      <c r="F169" s="12" t="s">
        <v>132</v>
      </c>
      <c r="G169" s="12" t="s">
        <v>57</v>
      </c>
      <c r="H169" s="12" t="s">
        <v>49</v>
      </c>
      <c r="I169" s="12" t="s">
        <v>65</v>
      </c>
      <c r="J169" s="14">
        <v>3000.0</v>
      </c>
      <c r="K169" s="15">
        <v>46053.0</v>
      </c>
      <c r="L169" s="15"/>
      <c r="M169" s="8" t="s">
        <v>30</v>
      </c>
    </row>
    <row r="170" ht="22.5" customHeight="1">
      <c r="A170" s="8" t="s">
        <v>921</v>
      </c>
      <c r="B170" s="8" t="s">
        <v>922</v>
      </c>
      <c r="C170" s="13" t="s">
        <v>923</v>
      </c>
      <c r="D170" s="8" t="s">
        <v>924</v>
      </c>
      <c r="E170" s="8" t="s">
        <v>400</v>
      </c>
      <c r="F170" s="12" t="s">
        <v>38</v>
      </c>
      <c r="G170" s="12" t="s">
        <v>57</v>
      </c>
      <c r="H170" s="12" t="s">
        <v>217</v>
      </c>
      <c r="I170" s="12" t="s">
        <v>77</v>
      </c>
      <c r="J170" s="14">
        <v>2000.0</v>
      </c>
      <c r="K170" s="15">
        <v>46244.0</v>
      </c>
      <c r="L170" s="15">
        <v>46282.0</v>
      </c>
      <c r="M170" s="8" t="s">
        <v>107</v>
      </c>
    </row>
    <row r="171" ht="22.5" customHeight="1">
      <c r="A171" s="8" t="s">
        <v>925</v>
      </c>
      <c r="B171" s="8" t="s">
        <v>926</v>
      </c>
      <c r="C171" s="13" t="s">
        <v>927</v>
      </c>
      <c r="D171" s="8" t="s">
        <v>928</v>
      </c>
      <c r="E171" s="8" t="s">
        <v>713</v>
      </c>
      <c r="F171" s="12" t="s">
        <v>132</v>
      </c>
      <c r="G171" s="12" t="s">
        <v>48</v>
      </c>
      <c r="H171" s="12" t="s">
        <v>40</v>
      </c>
      <c r="I171" s="12" t="s">
        <v>134</v>
      </c>
      <c r="J171" s="14">
        <v>3000.0</v>
      </c>
      <c r="K171" s="15">
        <v>46041.0</v>
      </c>
      <c r="L171" s="15">
        <v>46070.0</v>
      </c>
      <c r="M171" s="8" t="s">
        <v>107</v>
      </c>
    </row>
    <row r="172" ht="22.5" customHeight="1">
      <c r="A172" s="8" t="s">
        <v>929</v>
      </c>
      <c r="B172" s="8" t="s">
        <v>930</v>
      </c>
      <c r="C172" s="13" t="s">
        <v>931</v>
      </c>
      <c r="D172" s="8" t="s">
        <v>932</v>
      </c>
      <c r="E172" s="8" t="s">
        <v>879</v>
      </c>
      <c r="F172" s="12" t="s">
        <v>47</v>
      </c>
      <c r="G172" s="12" t="s">
        <v>57</v>
      </c>
      <c r="H172" s="12" t="s">
        <v>40</v>
      </c>
      <c r="I172" s="12" t="s">
        <v>29</v>
      </c>
      <c r="J172" s="14">
        <v>3000.0</v>
      </c>
      <c r="K172" s="15">
        <v>46248.0</v>
      </c>
      <c r="L172" s="15">
        <v>46290.0</v>
      </c>
      <c r="M172" s="8" t="s">
        <v>107</v>
      </c>
    </row>
    <row r="173" ht="22.5" customHeight="1">
      <c r="A173" s="8" t="s">
        <v>933</v>
      </c>
      <c r="B173" s="8" t="s">
        <v>255</v>
      </c>
      <c r="C173" s="13" t="s">
        <v>934</v>
      </c>
      <c r="D173" s="8" t="s">
        <v>935</v>
      </c>
      <c r="E173" s="8" t="s">
        <v>936</v>
      </c>
      <c r="F173" s="12" t="s">
        <v>47</v>
      </c>
      <c r="G173" s="12" t="s">
        <v>57</v>
      </c>
      <c r="H173" s="12" t="s">
        <v>217</v>
      </c>
      <c r="I173" s="12" t="s">
        <v>134</v>
      </c>
      <c r="J173" s="14">
        <v>900.0</v>
      </c>
      <c r="K173" s="15">
        <v>46216.0</v>
      </c>
      <c r="L173" s="15">
        <v>46230.0</v>
      </c>
      <c r="M173" s="8" t="s">
        <v>66</v>
      </c>
    </row>
    <row r="174" ht="22.5" customHeight="1">
      <c r="A174" s="8" t="s">
        <v>937</v>
      </c>
      <c r="B174" s="8" t="s">
        <v>234</v>
      </c>
      <c r="C174" s="13" t="s">
        <v>938</v>
      </c>
      <c r="E174" s="8" t="s">
        <v>939</v>
      </c>
      <c r="F174" s="12" t="s">
        <v>132</v>
      </c>
      <c r="G174" s="12" t="s">
        <v>27</v>
      </c>
      <c r="H174" s="12" t="s">
        <v>40</v>
      </c>
      <c r="I174" s="12" t="s">
        <v>77</v>
      </c>
      <c r="J174" s="14">
        <v>3000.0</v>
      </c>
      <c r="K174" s="15">
        <v>46095.0</v>
      </c>
      <c r="L174" s="15"/>
      <c r="M174" s="8" t="s">
        <v>107</v>
      </c>
    </row>
    <row r="175" ht="22.5" customHeight="1">
      <c r="A175" s="8" t="s">
        <v>940</v>
      </c>
      <c r="B175" s="8" t="s">
        <v>941</v>
      </c>
      <c r="C175" s="13" t="s">
        <v>942</v>
      </c>
      <c r="D175" s="8" t="s">
        <v>943</v>
      </c>
      <c r="E175" s="8" t="s">
        <v>944</v>
      </c>
      <c r="F175" s="12" t="s">
        <v>201</v>
      </c>
      <c r="G175" s="12" t="s">
        <v>27</v>
      </c>
      <c r="H175" s="12" t="s">
        <v>217</v>
      </c>
      <c r="I175" s="12" t="s">
        <v>50</v>
      </c>
      <c r="J175" s="14">
        <v>750.0</v>
      </c>
      <c r="K175" s="15">
        <v>46027.0</v>
      </c>
      <c r="L175" s="15">
        <v>46043.0</v>
      </c>
      <c r="M175" s="8" t="s">
        <v>66</v>
      </c>
    </row>
    <row r="176" ht="22.5" customHeight="1">
      <c r="A176" s="8" t="s">
        <v>945</v>
      </c>
      <c r="B176" s="8" t="s">
        <v>946</v>
      </c>
      <c r="C176" s="13" t="s">
        <v>947</v>
      </c>
      <c r="D176" s="8" t="s">
        <v>948</v>
      </c>
      <c r="E176" s="8" t="s">
        <v>949</v>
      </c>
      <c r="F176" s="12" t="s">
        <v>38</v>
      </c>
      <c r="G176" s="12" t="s">
        <v>133</v>
      </c>
      <c r="H176" s="12" t="s">
        <v>49</v>
      </c>
      <c r="I176" s="12" t="s">
        <v>58</v>
      </c>
      <c r="J176" s="14">
        <v>750.0</v>
      </c>
      <c r="K176" s="15">
        <v>46097.0</v>
      </c>
      <c r="L176" s="15">
        <v>46142.0</v>
      </c>
      <c r="M176" s="8" t="s">
        <v>66</v>
      </c>
    </row>
    <row r="177" ht="22.5" customHeight="1">
      <c r="A177" s="8" t="s">
        <v>950</v>
      </c>
      <c r="B177" s="8" t="s">
        <v>951</v>
      </c>
      <c r="C177" s="13" t="s">
        <v>952</v>
      </c>
      <c r="D177" s="8" t="s">
        <v>953</v>
      </c>
      <c r="F177" s="12" t="s">
        <v>47</v>
      </c>
      <c r="G177" s="12" t="s">
        <v>27</v>
      </c>
      <c r="H177" s="12" t="s">
        <v>49</v>
      </c>
      <c r="I177" s="12" t="s">
        <v>58</v>
      </c>
      <c r="J177" s="14">
        <v>3000.0</v>
      </c>
      <c r="K177" s="15">
        <v>46083.0</v>
      </c>
      <c r="L177" s="15">
        <v>46123.0</v>
      </c>
      <c r="M177" s="8" t="s">
        <v>107</v>
      </c>
    </row>
    <row r="178" ht="22.5" customHeight="1">
      <c r="A178" s="8" t="s">
        <v>954</v>
      </c>
      <c r="B178" s="8" t="s">
        <v>955</v>
      </c>
      <c r="C178" s="13" t="s">
        <v>956</v>
      </c>
      <c r="D178" s="8" t="s">
        <v>957</v>
      </c>
      <c r="E178" s="8" t="s">
        <v>266</v>
      </c>
      <c r="F178" s="12" t="s">
        <v>120</v>
      </c>
      <c r="G178" s="12" t="s">
        <v>106</v>
      </c>
      <c r="H178" s="12" t="s">
        <v>28</v>
      </c>
      <c r="I178" s="12" t="s">
        <v>29</v>
      </c>
      <c r="J178" s="14">
        <v>750.0</v>
      </c>
      <c r="K178" s="15">
        <v>46201.0</v>
      </c>
      <c r="L178" s="15">
        <v>46211.0</v>
      </c>
      <c r="M178" s="8" t="s">
        <v>30</v>
      </c>
    </row>
    <row r="179" ht="22.5" customHeight="1">
      <c r="A179" s="8" t="s">
        <v>958</v>
      </c>
      <c r="B179" s="8" t="s">
        <v>959</v>
      </c>
      <c r="C179" s="13" t="s">
        <v>960</v>
      </c>
      <c r="E179" s="8" t="s">
        <v>962</v>
      </c>
      <c r="F179" s="12" t="s">
        <v>283</v>
      </c>
      <c r="G179" s="12" t="s">
        <v>48</v>
      </c>
      <c r="H179" s="12" t="s">
        <v>40</v>
      </c>
      <c r="I179" s="12" t="s">
        <v>77</v>
      </c>
      <c r="J179" s="14">
        <v>500.0</v>
      </c>
      <c r="K179" s="15">
        <v>46189.0</v>
      </c>
      <c r="L179" s="15">
        <v>46190.0</v>
      </c>
      <c r="M179" s="8" t="s">
        <v>66</v>
      </c>
    </row>
    <row r="180" ht="22.5" customHeight="1">
      <c r="A180" s="8" t="s">
        <v>964</v>
      </c>
      <c r="B180" s="8" t="s">
        <v>965</v>
      </c>
      <c r="C180" s="13" t="s">
        <v>966</v>
      </c>
      <c r="D180" s="8" t="s">
        <v>967</v>
      </c>
      <c r="E180" s="8" t="s">
        <v>944</v>
      </c>
      <c r="F180" s="12" t="s">
        <v>175</v>
      </c>
      <c r="G180" s="12" t="s">
        <v>133</v>
      </c>
      <c r="H180" s="12" t="s">
        <v>40</v>
      </c>
      <c r="I180" s="12" t="s">
        <v>77</v>
      </c>
      <c r="J180" s="14">
        <v>750.0</v>
      </c>
      <c r="K180" s="15">
        <v>46229.0</v>
      </c>
      <c r="L180" s="15">
        <v>46257.0</v>
      </c>
      <c r="M180" s="8" t="s">
        <v>95</v>
      </c>
    </row>
    <row r="181" ht="22.5" customHeight="1">
      <c r="A181" s="8" t="s">
        <v>968</v>
      </c>
      <c r="B181" s="8" t="s">
        <v>969</v>
      </c>
      <c r="C181" s="13" t="s">
        <v>970</v>
      </c>
      <c r="D181" s="8" t="s">
        <v>972</v>
      </c>
      <c r="E181" s="8" t="s">
        <v>973</v>
      </c>
      <c r="F181" s="12" t="s">
        <v>38</v>
      </c>
      <c r="G181" s="12" t="s">
        <v>133</v>
      </c>
      <c r="H181" s="12" t="s">
        <v>76</v>
      </c>
      <c r="I181" s="12" t="s">
        <v>134</v>
      </c>
      <c r="J181" s="14">
        <v>350.0</v>
      </c>
      <c r="K181" s="15">
        <v>46220.0</v>
      </c>
      <c r="L181" s="15">
        <v>46253.0</v>
      </c>
      <c r="M181" s="8" t="s">
        <v>95</v>
      </c>
    </row>
    <row r="182" ht="22.5" customHeight="1">
      <c r="A182" s="8" t="s">
        <v>975</v>
      </c>
      <c r="B182" s="8" t="s">
        <v>976</v>
      </c>
      <c r="C182" s="13" t="s">
        <v>977</v>
      </c>
      <c r="D182" s="8" t="s">
        <v>978</v>
      </c>
      <c r="E182" s="8" t="s">
        <v>897</v>
      </c>
      <c r="F182" s="12" t="s">
        <v>132</v>
      </c>
      <c r="G182" s="12" t="s">
        <v>57</v>
      </c>
      <c r="H182" s="12" t="s">
        <v>217</v>
      </c>
      <c r="I182" s="12" t="s">
        <v>134</v>
      </c>
      <c r="J182" s="14">
        <v>350.0</v>
      </c>
      <c r="K182" s="15">
        <v>46034.0</v>
      </c>
      <c r="L182" s="15">
        <v>46072.0</v>
      </c>
      <c r="M182" s="8" t="s">
        <v>66</v>
      </c>
    </row>
    <row r="183" ht="22.5" customHeight="1">
      <c r="A183" s="8" t="s">
        <v>979</v>
      </c>
      <c r="B183" s="8" t="s">
        <v>980</v>
      </c>
      <c r="C183" s="52" t="s">
        <v>981</v>
      </c>
      <c r="D183" s="8" t="s">
        <v>982</v>
      </c>
      <c r="E183" s="8" t="s">
        <v>983</v>
      </c>
      <c r="F183" s="12" t="s">
        <v>201</v>
      </c>
      <c r="G183" s="12" t="s">
        <v>39</v>
      </c>
      <c r="H183" s="12" t="s">
        <v>28</v>
      </c>
      <c r="I183" s="12" t="s">
        <v>134</v>
      </c>
      <c r="J183" s="14">
        <v>2000.0</v>
      </c>
      <c r="K183" s="15">
        <v>46158.0</v>
      </c>
      <c r="L183" s="15">
        <v>46190.0</v>
      </c>
      <c r="M183" s="8" t="s">
        <v>107</v>
      </c>
    </row>
    <row r="184" ht="22.5" customHeight="1">
      <c r="A184" s="8" t="s">
        <v>984</v>
      </c>
      <c r="B184" s="8" t="s">
        <v>881</v>
      </c>
      <c r="C184" s="13" t="s">
        <v>985</v>
      </c>
      <c r="E184" s="8" t="s">
        <v>973</v>
      </c>
      <c r="F184" s="12" t="s">
        <v>283</v>
      </c>
      <c r="G184" s="12" t="s">
        <v>133</v>
      </c>
      <c r="H184" s="12" t="s">
        <v>40</v>
      </c>
      <c r="I184" s="12" t="s">
        <v>50</v>
      </c>
      <c r="J184" s="14">
        <v>350.0</v>
      </c>
      <c r="K184" s="15">
        <v>46154.0</v>
      </c>
      <c r="L184" s="15">
        <v>46180.0</v>
      </c>
    </row>
    <row r="185" ht="22.5" customHeight="1">
      <c r="A185" s="8" t="s">
        <v>986</v>
      </c>
      <c r="B185" s="8" t="s">
        <v>987</v>
      </c>
      <c r="C185" s="13" t="s">
        <v>988</v>
      </c>
      <c r="E185" s="8" t="s">
        <v>325</v>
      </c>
      <c r="F185" s="12" t="s">
        <v>47</v>
      </c>
      <c r="G185" s="12" t="s">
        <v>27</v>
      </c>
      <c r="H185" s="12" t="s">
        <v>76</v>
      </c>
      <c r="I185" s="12" t="s">
        <v>29</v>
      </c>
      <c r="J185" s="14">
        <v>750.0</v>
      </c>
      <c r="K185" s="15">
        <v>46156.0</v>
      </c>
      <c r="L185" s="15">
        <v>46197.0</v>
      </c>
      <c r="M185" s="8" t="s">
        <v>41</v>
      </c>
    </row>
    <row r="186" ht="22.5" customHeight="1">
      <c r="A186" s="8" t="s">
        <v>989</v>
      </c>
      <c r="B186" s="8" t="s">
        <v>990</v>
      </c>
      <c r="C186" s="13" t="s">
        <v>991</v>
      </c>
      <c r="D186" s="8" t="s">
        <v>992</v>
      </c>
      <c r="E186" s="8" t="s">
        <v>325</v>
      </c>
      <c r="F186" s="12" t="s">
        <v>38</v>
      </c>
      <c r="G186" s="12" t="s">
        <v>106</v>
      </c>
      <c r="H186" s="12" t="s">
        <v>76</v>
      </c>
      <c r="I186" s="12" t="s">
        <v>134</v>
      </c>
      <c r="J186" s="14">
        <v>350.0</v>
      </c>
      <c r="K186" s="15">
        <v>46119.0</v>
      </c>
      <c r="L186" s="15">
        <v>46127.0</v>
      </c>
      <c r="M186" s="8" t="s">
        <v>66</v>
      </c>
    </row>
    <row r="187" ht="22.5" customHeight="1">
      <c r="A187" s="8" t="s">
        <v>993</v>
      </c>
      <c r="B187" s="8" t="s">
        <v>994</v>
      </c>
      <c r="C187" s="13" t="s">
        <v>995</v>
      </c>
      <c r="D187" s="8" t="s">
        <v>996</v>
      </c>
      <c r="E187" s="8" t="s">
        <v>997</v>
      </c>
      <c r="F187" s="12" t="s">
        <v>38</v>
      </c>
      <c r="G187" s="12" t="s">
        <v>39</v>
      </c>
      <c r="H187" s="12" t="s">
        <v>76</v>
      </c>
      <c r="I187" s="12" t="s">
        <v>134</v>
      </c>
      <c r="J187" s="14">
        <v>1200.0</v>
      </c>
      <c r="K187" s="15">
        <v>46165.0</v>
      </c>
      <c r="L187" s="15">
        <v>46205.0</v>
      </c>
      <c r="M187" s="8" t="s">
        <v>107</v>
      </c>
    </row>
    <row r="188" ht="22.5" customHeight="1">
      <c r="A188" s="8" t="s">
        <v>961</v>
      </c>
      <c r="B188" s="8" t="s">
        <v>177</v>
      </c>
      <c r="C188" s="13" t="s">
        <v>963</v>
      </c>
      <c r="D188" s="8" t="s">
        <v>971</v>
      </c>
      <c r="E188" s="8" t="s">
        <v>974</v>
      </c>
      <c r="F188" s="12" t="s">
        <v>38</v>
      </c>
      <c r="G188" s="12" t="s">
        <v>133</v>
      </c>
      <c r="H188" s="12" t="s">
        <v>49</v>
      </c>
      <c r="I188" s="12" t="s">
        <v>65</v>
      </c>
      <c r="J188" s="14">
        <v>500.0</v>
      </c>
      <c r="K188" s="15">
        <v>46245.0</v>
      </c>
      <c r="L188" s="15">
        <v>46255.0</v>
      </c>
      <c r="M188" s="8" t="s">
        <v>30</v>
      </c>
    </row>
    <row r="189" ht="22.5" customHeight="1">
      <c r="A189" s="8" t="s">
        <v>1001</v>
      </c>
      <c r="B189" s="8" t="s">
        <v>568</v>
      </c>
      <c r="C189" s="13" t="s">
        <v>1002</v>
      </c>
      <c r="D189" s="8" t="s">
        <v>1003</v>
      </c>
      <c r="E189" s="8" t="s">
        <v>173</v>
      </c>
      <c r="F189" s="12" t="s">
        <v>132</v>
      </c>
      <c r="G189" s="12" t="s">
        <v>133</v>
      </c>
      <c r="H189" s="12" t="s">
        <v>28</v>
      </c>
      <c r="I189" s="12" t="s">
        <v>65</v>
      </c>
      <c r="J189" s="14">
        <v>2500.0</v>
      </c>
      <c r="K189" s="15">
        <v>46209.0</v>
      </c>
      <c r="L189" s="15">
        <v>46233.0</v>
      </c>
    </row>
    <row r="190" ht="22.5" customHeight="1">
      <c r="A190" s="8" t="s">
        <v>1005</v>
      </c>
      <c r="B190" s="8" t="s">
        <v>1006</v>
      </c>
      <c r="C190" s="52"/>
      <c r="D190" s="8" t="s">
        <v>580</v>
      </c>
      <c r="E190" s="8" t="s">
        <v>581</v>
      </c>
      <c r="F190" s="12" t="s">
        <v>220</v>
      </c>
      <c r="G190" s="12" t="s">
        <v>57</v>
      </c>
      <c r="H190" s="12" t="s">
        <v>76</v>
      </c>
      <c r="I190" s="12" t="s">
        <v>77</v>
      </c>
      <c r="J190" s="14">
        <v>2000.0</v>
      </c>
      <c r="K190" s="15">
        <v>46041.0</v>
      </c>
      <c r="L190" s="15">
        <v>46061.0</v>
      </c>
      <c r="M190" s="8" t="s">
        <v>66</v>
      </c>
    </row>
    <row r="191" ht="22.5" customHeight="1">
      <c r="A191" s="8" t="s">
        <v>253</v>
      </c>
      <c r="B191" s="8" t="s">
        <v>257</v>
      </c>
      <c r="C191" s="13" t="s">
        <v>260</v>
      </c>
      <c r="D191" s="8" t="s">
        <v>271</v>
      </c>
      <c r="E191" s="8" t="s">
        <v>272</v>
      </c>
      <c r="F191" s="12" t="s">
        <v>120</v>
      </c>
      <c r="G191" s="12" t="s">
        <v>57</v>
      </c>
      <c r="H191" s="12" t="s">
        <v>40</v>
      </c>
      <c r="I191" s="12" t="s">
        <v>50</v>
      </c>
      <c r="J191" s="14">
        <v>1200.0</v>
      </c>
      <c r="K191" s="15">
        <v>46263.0</v>
      </c>
      <c r="L191" s="15">
        <v>46304.0</v>
      </c>
      <c r="M191" s="8" t="s">
        <v>95</v>
      </c>
    </row>
    <row r="192" ht="22.5" customHeight="1">
      <c r="A192" s="8" t="s">
        <v>1009</v>
      </c>
      <c r="B192" s="8" t="s">
        <v>1010</v>
      </c>
      <c r="C192" s="13" t="s">
        <v>1011</v>
      </c>
      <c r="D192" s="8" t="s">
        <v>1012</v>
      </c>
      <c r="E192" s="8" t="s">
        <v>1013</v>
      </c>
      <c r="F192" s="12" t="s">
        <v>201</v>
      </c>
      <c r="G192" s="12" t="s">
        <v>57</v>
      </c>
      <c r="H192" s="12" t="s">
        <v>76</v>
      </c>
      <c r="I192" s="12"/>
      <c r="J192" s="14">
        <v>3000.0</v>
      </c>
      <c r="K192" s="15">
        <v>46045.0</v>
      </c>
      <c r="L192" s="15">
        <v>46073.0</v>
      </c>
      <c r="M192" s="8" t="s">
        <v>95</v>
      </c>
    </row>
  </sheetData>
  <dataValidations>
    <dataValidation type="list" allowBlank="1" showDropDown="1" showErrorMessage="1" sqref="I2:I192">
      <formula1>"Contacted,New,Lost,Won,Proposal Sent,Qualified,,Proposal"</formula1>
    </dataValidation>
    <dataValidation type="list" allowBlank="1" showDropDown="1" showErrorMessage="1" sqref="G2:G192">
      <formula1>"Organic Search,Instagram,Referral,Website,LinkedIn,Facebook"</formula1>
    </dataValidation>
    <dataValidation type="custom" allowBlank="1" showDropDown="1" sqref="K2:L192">
      <formula1>OR(NOT(ISERROR(DATEVALUE(K2))), AND(ISNUMBER(K2), LEFT(CELL("format", K2))="D"))</formula1>
    </dataValidation>
    <dataValidation type="custom" allowBlank="1" showDropDown="1" sqref="J2:J192">
      <formula1>AND(ISNUMBER(J2),(NOT(OR(NOT(ISERROR(DATEVALUE(J2))), AND(ISNUMBER(J2), LEFT(CELL("format", J2))="D")))))</formula1>
    </dataValidation>
    <dataValidation type="list" allowBlank="1" showDropDown="1" showErrorMessage="1" sqref="H2:H192">
      <formula1>"Document Processing,Workflow Automation,AI Voice Agent,Data Automation,Website Chat Agent"</formula1>
    </dataValidation>
    <dataValidation type="list" allowBlank="1" showDropDown="1" showErrorMessage="1" sqref="F2:F192">
      <formula1>"Chile,El Salvador,Argentina,Peru,United States,Spain,Perú,Colombia,Mexico,Salvador,Us,Usa"</formula1>
    </dataValidation>
  </dataValidations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3"/>
    <hyperlink r:id="rId62" ref="C64"/>
    <hyperlink r:id="rId63" ref="C65"/>
    <hyperlink r:id="rId64" ref="C66"/>
    <hyperlink r:id="rId65" ref="C67"/>
    <hyperlink r:id="rId66" ref="C68"/>
    <hyperlink r:id="rId67" ref="C69"/>
    <hyperlink r:id="rId68" ref="C70"/>
    <hyperlink r:id="rId69" ref="C71"/>
    <hyperlink r:id="rId70" ref="C72"/>
    <hyperlink r:id="rId71" ref="C73"/>
    <hyperlink r:id="rId72" ref="C74"/>
    <hyperlink r:id="rId73" ref="C75"/>
    <hyperlink r:id="rId74" ref="C76"/>
    <hyperlink r:id="rId75" ref="C77"/>
    <hyperlink r:id="rId76" ref="C78"/>
    <hyperlink r:id="rId77" ref="C79"/>
    <hyperlink r:id="rId78" ref="C80"/>
    <hyperlink r:id="rId79" ref="C81"/>
    <hyperlink r:id="rId80" ref="C83"/>
    <hyperlink r:id="rId81" ref="C84"/>
    <hyperlink r:id="rId82" ref="C85"/>
    <hyperlink r:id="rId83" ref="C86"/>
    <hyperlink r:id="rId84" ref="C87"/>
    <hyperlink r:id="rId85" ref="C88"/>
    <hyperlink r:id="rId86" ref="C89"/>
    <hyperlink r:id="rId87" ref="C90"/>
    <hyperlink r:id="rId88" ref="C91"/>
    <hyperlink r:id="rId89" ref="C92"/>
    <hyperlink r:id="rId90" ref="C93"/>
    <hyperlink r:id="rId91" ref="C94"/>
    <hyperlink r:id="rId92" ref="C96"/>
    <hyperlink r:id="rId93" ref="C97"/>
    <hyperlink r:id="rId94" ref="C98"/>
    <hyperlink r:id="rId95" ref="C99"/>
    <hyperlink r:id="rId96" ref="C100"/>
    <hyperlink r:id="rId97" ref="C101"/>
    <hyperlink r:id="rId98" ref="C102"/>
    <hyperlink r:id="rId99" ref="C103"/>
    <hyperlink r:id="rId100" ref="C104"/>
    <hyperlink r:id="rId101" ref="C105"/>
    <hyperlink r:id="rId102" ref="C106"/>
    <hyperlink r:id="rId103" ref="C107"/>
    <hyperlink r:id="rId104" ref="C108"/>
    <hyperlink r:id="rId105" ref="C109"/>
    <hyperlink r:id="rId106" ref="C110"/>
    <hyperlink r:id="rId107" ref="C112"/>
    <hyperlink r:id="rId108" ref="C113"/>
    <hyperlink r:id="rId109" ref="C114"/>
    <hyperlink r:id="rId110" ref="C115"/>
    <hyperlink r:id="rId111" ref="C116"/>
    <hyperlink r:id="rId112" ref="C117"/>
    <hyperlink r:id="rId113" ref="C118"/>
    <hyperlink r:id="rId114" ref="C119"/>
    <hyperlink r:id="rId115" ref="C120"/>
    <hyperlink r:id="rId116" ref="C122"/>
    <hyperlink r:id="rId117" ref="C123"/>
    <hyperlink r:id="rId118" ref="C124"/>
    <hyperlink r:id="rId119" ref="C125"/>
    <hyperlink r:id="rId120" ref="C126"/>
    <hyperlink r:id="rId121" ref="C127"/>
    <hyperlink r:id="rId122" ref="C128"/>
    <hyperlink r:id="rId123" ref="C129"/>
    <hyperlink r:id="rId124" ref="C130"/>
    <hyperlink r:id="rId125" ref="C131"/>
    <hyperlink r:id="rId126" ref="C132"/>
    <hyperlink r:id="rId127" ref="C133"/>
    <hyperlink r:id="rId128" ref="C134"/>
    <hyperlink r:id="rId129" ref="C135"/>
    <hyperlink r:id="rId130" ref="C137"/>
    <hyperlink r:id="rId131" ref="C138"/>
    <hyperlink r:id="rId132" ref="C139"/>
    <hyperlink r:id="rId133" ref="C140"/>
    <hyperlink r:id="rId134" ref="C141"/>
    <hyperlink r:id="rId135" ref="C144"/>
    <hyperlink r:id="rId136" ref="C145"/>
    <hyperlink r:id="rId137" ref="C146"/>
    <hyperlink r:id="rId138" ref="C147"/>
    <hyperlink r:id="rId139" ref="C148"/>
    <hyperlink r:id="rId140" ref="C149"/>
    <hyperlink r:id="rId141" ref="C150"/>
    <hyperlink r:id="rId142" ref="C151"/>
    <hyperlink r:id="rId143" ref="C152"/>
    <hyperlink r:id="rId144" ref="C153"/>
    <hyperlink r:id="rId145" ref="C154"/>
    <hyperlink r:id="rId146" ref="C155"/>
    <hyperlink r:id="rId147" ref="C156"/>
    <hyperlink r:id="rId148" ref="C157"/>
    <hyperlink r:id="rId149" ref="C158"/>
    <hyperlink r:id="rId150" ref="C159"/>
    <hyperlink r:id="rId151" ref="C160"/>
    <hyperlink r:id="rId152" ref="C161"/>
    <hyperlink r:id="rId153" ref="C162"/>
    <hyperlink r:id="rId154" ref="C163"/>
    <hyperlink r:id="rId155" ref="C164"/>
    <hyperlink r:id="rId156" ref="C165"/>
    <hyperlink r:id="rId157" ref="C166"/>
    <hyperlink r:id="rId158" ref="C167"/>
    <hyperlink r:id="rId159" ref="C168"/>
    <hyperlink r:id="rId160" ref="C170"/>
    <hyperlink r:id="rId161" ref="C171"/>
    <hyperlink r:id="rId162" ref="C172"/>
    <hyperlink r:id="rId163" ref="C173"/>
    <hyperlink r:id="rId164" ref="C174"/>
    <hyperlink r:id="rId165" ref="C175"/>
    <hyperlink r:id="rId166" ref="C176"/>
    <hyperlink r:id="rId167" ref="C177"/>
    <hyperlink r:id="rId168" ref="C178"/>
    <hyperlink r:id="rId169" ref="C179"/>
    <hyperlink r:id="rId170" ref="C180"/>
    <hyperlink r:id="rId171" ref="C181"/>
    <hyperlink r:id="rId172" ref="C182"/>
    <hyperlink r:id="rId173" ref="C184"/>
    <hyperlink r:id="rId174" ref="C185"/>
    <hyperlink r:id="rId175" ref="C186"/>
    <hyperlink r:id="rId176" ref="C187"/>
    <hyperlink r:id="rId177" ref="C188"/>
    <hyperlink r:id="rId178" ref="C189"/>
    <hyperlink r:id="rId179" ref="C191"/>
    <hyperlink r:id="rId180" ref="C192"/>
  </hyperlinks>
  <drawing r:id="rId181"/>
  <tableParts count="1">
    <tablePart r:id="rId18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1" width="4.38"/>
    <col customWidth="1" min="2" max="2" width="28.0"/>
    <col customWidth="1" min="3" max="3" width="25.38"/>
    <col customWidth="1" min="5" max="5" width="22.38"/>
    <col customWidth="1" min="7" max="7" width="26.63"/>
    <col customWidth="1" min="8" max="8" width="18.25"/>
  </cols>
  <sheetData>
    <row r="1">
      <c r="A1" s="19"/>
      <c r="B1" s="19"/>
      <c r="C1" s="19"/>
      <c r="D1" s="19"/>
      <c r="E1" s="19"/>
      <c r="F1" s="19"/>
    </row>
    <row r="2">
      <c r="A2" s="19"/>
      <c r="B2" s="19" t="s">
        <v>297</v>
      </c>
    </row>
    <row r="3">
      <c r="B3" s="20" t="s">
        <v>298</v>
      </c>
    </row>
    <row r="6">
      <c r="A6" s="21"/>
      <c r="C6" s="22" t="s">
        <v>302</v>
      </c>
      <c r="D6" s="23">
        <f>COUNTA(FINAL_DATA!A2:A1001)</f>
        <v>191</v>
      </c>
      <c r="G6" s="22" t="s">
        <v>312</v>
      </c>
      <c r="H6" s="24"/>
    </row>
    <row r="7">
      <c r="A7" s="11"/>
      <c r="C7" s="25" t="s">
        <v>313</v>
      </c>
      <c r="D7" s="26">
        <f>SUM(FINAL_DATA!J2:J192)</f>
        <v>311450</v>
      </c>
      <c r="G7" s="25" t="s">
        <v>321</v>
      </c>
      <c r="H7" s="27">
        <v>200.0</v>
      </c>
    </row>
    <row r="8">
      <c r="A8" s="11"/>
      <c r="C8" s="25" t="s">
        <v>324</v>
      </c>
      <c r="D8" s="26">
        <f>AVERAGE(FINAL_DATA!J2:J192)</f>
        <v>1739.944134</v>
      </c>
      <c r="G8" s="25" t="s">
        <v>329</v>
      </c>
      <c r="H8" s="27">
        <v>9.0</v>
      </c>
    </row>
    <row r="9">
      <c r="A9" s="11"/>
      <c r="C9" s="25" t="s">
        <v>330</v>
      </c>
      <c r="D9" s="28">
        <f>COUNTBLANK(FINAL_DATA!J2:J192)</f>
        <v>12</v>
      </c>
      <c r="G9" s="25" t="s">
        <v>333</v>
      </c>
      <c r="H9" s="27">
        <v>191.0</v>
      </c>
    </row>
    <row r="10">
      <c r="A10" s="11"/>
      <c r="C10" s="29" t="s">
        <v>334</v>
      </c>
      <c r="D10" s="30">
        <f>COUNTBLANK(FINAL_DATA!I2:I192)</f>
        <v>4</v>
      </c>
      <c r="G10" s="25" t="s">
        <v>340</v>
      </c>
      <c r="H10" s="31">
        <v>0.045</v>
      </c>
    </row>
    <row r="11">
      <c r="A11" s="11"/>
      <c r="D11" s="11"/>
      <c r="E11" s="11"/>
      <c r="G11" s="25" t="s">
        <v>344</v>
      </c>
      <c r="H11" s="27">
        <v>4.0</v>
      </c>
    </row>
    <row r="12">
      <c r="A12" s="11"/>
      <c r="D12" s="11"/>
      <c r="E12" s="11"/>
      <c r="G12" s="25" t="s">
        <v>345</v>
      </c>
      <c r="H12" s="27">
        <v>4.0</v>
      </c>
    </row>
    <row r="13">
      <c r="A13" s="21"/>
      <c r="D13" s="21"/>
      <c r="E13" s="21"/>
      <c r="G13" s="29" t="s">
        <v>348</v>
      </c>
      <c r="H13" s="30">
        <v>7.0</v>
      </c>
    </row>
    <row r="14">
      <c r="A14" s="21"/>
      <c r="B14" s="21"/>
      <c r="C14" s="21"/>
      <c r="E14" s="21"/>
      <c r="F14" s="21"/>
    </row>
    <row r="15">
      <c r="A15" s="21"/>
      <c r="B15" s="21"/>
      <c r="C15" s="21"/>
      <c r="E15" s="21"/>
      <c r="F15" s="21"/>
    </row>
    <row r="16">
      <c r="A16" s="21"/>
      <c r="B16" s="21"/>
      <c r="C16" s="21"/>
      <c r="E16" s="21"/>
      <c r="F16" s="21"/>
    </row>
    <row r="17">
      <c r="A17" s="21"/>
      <c r="B17" s="32" t="s">
        <v>351</v>
      </c>
      <c r="C17" s="32" t="s">
        <v>352</v>
      </c>
      <c r="E17" s="32" t="s">
        <v>353</v>
      </c>
      <c r="F17" s="32" t="s">
        <v>352</v>
      </c>
      <c r="H17" s="32" t="s">
        <v>354</v>
      </c>
      <c r="I17" s="32" t="s">
        <v>352</v>
      </c>
    </row>
    <row r="18">
      <c r="B18" s="33" t="str">
        <f>IFERROR(__xludf.DUMMYFUNCTION("QUERY(FINAL_DATA!I2:I192,""select Col1, count(Col1) where Col1 is not null group by Col1 label Col1 '', count(Col1) ''"",0)"),"Contacted")</f>
        <v>Contacted</v>
      </c>
      <c r="C18" s="34">
        <f>IFERROR(__xludf.DUMMYFUNCTION("""COMPUTED_VALUE"""),26.0)</f>
        <v>26</v>
      </c>
      <c r="E18" s="33" t="str">
        <f>IFERROR(__xludf.DUMMYFUNCTION("QUERY(FINAL_DATA!G2:G192,""select Col1, count(Col1) where Col1 is not null group by Col1 label Col1 '', count(Col1) ''"",0)"),"Facebook")</f>
        <v>Facebook</v>
      </c>
      <c r="F18" s="33">
        <f>IFERROR(__xludf.DUMMYFUNCTION("""COMPUTED_VALUE"""),30.0)</f>
        <v>30</v>
      </c>
      <c r="H18" s="33" t="str">
        <f>IFERROR(__xludf.DUMMYFUNCTION("QUERY(FINAL_DATA!H2:H192,""select Col1, count(Col1) where Col1 is not null group by Col1 label Col1 '', count(Col1) ''"",0)"),"AI Voice Agent")</f>
        <v>AI Voice Agent</v>
      </c>
      <c r="I18" s="34">
        <f>IFERROR(__xludf.DUMMYFUNCTION("""COMPUTED_VALUE"""),37.0)</f>
        <v>37</v>
      </c>
    </row>
    <row r="19">
      <c r="B19" s="33" t="str">
        <f>IFERROR(__xludf.DUMMYFUNCTION("""COMPUTED_VALUE"""),"Lost")</f>
        <v>Lost</v>
      </c>
      <c r="C19" s="34">
        <f>IFERROR(__xludf.DUMMYFUNCTION("""COMPUTED_VALUE"""),31.0)</f>
        <v>31</v>
      </c>
      <c r="E19" s="33" t="str">
        <f>IFERROR(__xludf.DUMMYFUNCTION("""COMPUTED_VALUE"""),"Instagram")</f>
        <v>Instagram</v>
      </c>
      <c r="F19" s="33">
        <f>IFERROR(__xludf.DUMMYFUNCTION("""COMPUTED_VALUE"""),27.0)</f>
        <v>27</v>
      </c>
      <c r="H19" s="33" t="str">
        <f>IFERROR(__xludf.DUMMYFUNCTION("""COMPUTED_VALUE"""),"Data Automation")</f>
        <v>Data Automation</v>
      </c>
      <c r="I19" s="34">
        <f>IFERROR(__xludf.DUMMYFUNCTION("""COMPUTED_VALUE"""),39.0)</f>
        <v>39</v>
      </c>
    </row>
    <row r="20">
      <c r="B20" s="33" t="str">
        <f>IFERROR(__xludf.DUMMYFUNCTION("""COMPUTED_VALUE"""),"New")</f>
        <v>New</v>
      </c>
      <c r="C20" s="34">
        <f>IFERROR(__xludf.DUMMYFUNCTION("""COMPUTED_VALUE"""),23.0)</f>
        <v>23</v>
      </c>
      <c r="E20" s="33" t="str">
        <f>IFERROR(__xludf.DUMMYFUNCTION("""COMPUTED_VALUE"""),"LinkedIn")</f>
        <v>LinkedIn</v>
      </c>
      <c r="F20" s="33">
        <f>IFERROR(__xludf.DUMMYFUNCTION("""COMPUTED_VALUE"""),31.0)</f>
        <v>31</v>
      </c>
      <c r="H20" s="33" t="str">
        <f>IFERROR(__xludf.DUMMYFUNCTION("""COMPUTED_VALUE"""),"Document Processing")</f>
        <v>Document Processing</v>
      </c>
      <c r="I20" s="34">
        <f>IFERROR(__xludf.DUMMYFUNCTION("""COMPUTED_VALUE"""),41.0)</f>
        <v>41</v>
      </c>
    </row>
    <row r="21">
      <c r="B21" s="33" t="str">
        <f>IFERROR(__xludf.DUMMYFUNCTION("""COMPUTED_VALUE"""),"Proposal")</f>
        <v>Proposal</v>
      </c>
      <c r="C21" s="34">
        <f>IFERROR(__xludf.DUMMYFUNCTION("""COMPUTED_VALUE"""),2.0)</f>
        <v>2</v>
      </c>
      <c r="E21" s="33" t="str">
        <f>IFERROR(__xludf.DUMMYFUNCTION("""COMPUTED_VALUE"""),"Organic Search")</f>
        <v>Organic Search</v>
      </c>
      <c r="F21" s="33">
        <f>IFERROR(__xludf.DUMMYFUNCTION("""COMPUTED_VALUE"""),36.0)</f>
        <v>36</v>
      </c>
      <c r="H21" s="33" t="str">
        <f>IFERROR(__xludf.DUMMYFUNCTION("""COMPUTED_VALUE"""),"Website Chat Agent")</f>
        <v>Website Chat Agent</v>
      </c>
      <c r="I21" s="34">
        <f>IFERROR(__xludf.DUMMYFUNCTION("""COMPUTED_VALUE"""),31.0)</f>
        <v>31</v>
      </c>
    </row>
    <row r="22">
      <c r="B22" s="33" t="str">
        <f>IFERROR(__xludf.DUMMYFUNCTION("""COMPUTED_VALUE"""),"Proposal Sent")</f>
        <v>Proposal Sent</v>
      </c>
      <c r="C22" s="34">
        <f>IFERROR(__xludf.DUMMYFUNCTION("""COMPUTED_VALUE"""),41.0)</f>
        <v>41</v>
      </c>
      <c r="E22" s="33" t="str">
        <f>IFERROR(__xludf.DUMMYFUNCTION("""COMPUTED_VALUE"""),"Referral")</f>
        <v>Referral</v>
      </c>
      <c r="F22" s="33">
        <f>IFERROR(__xludf.DUMMYFUNCTION("""COMPUTED_VALUE"""),25.0)</f>
        <v>25</v>
      </c>
      <c r="H22" s="33" t="str">
        <f>IFERROR(__xludf.DUMMYFUNCTION("""COMPUTED_VALUE"""),"Workflow Automation")</f>
        <v>Workflow Automation</v>
      </c>
      <c r="I22" s="34">
        <f>IFERROR(__xludf.DUMMYFUNCTION("""COMPUTED_VALUE"""),43.0)</f>
        <v>43</v>
      </c>
    </row>
    <row r="23">
      <c r="B23" s="33" t="str">
        <f>IFERROR(__xludf.DUMMYFUNCTION("""COMPUTED_VALUE"""),"Qualified")</f>
        <v>Qualified</v>
      </c>
      <c r="C23" s="34">
        <f>IFERROR(__xludf.DUMMYFUNCTION("""COMPUTED_VALUE"""),35.0)</f>
        <v>35</v>
      </c>
      <c r="E23" s="33" t="str">
        <f>IFERROR(__xludf.DUMMYFUNCTION("""COMPUTED_VALUE"""),"Website")</f>
        <v>Website</v>
      </c>
      <c r="F23" s="33">
        <f>IFERROR(__xludf.DUMMYFUNCTION("""COMPUTED_VALUE"""),42.0)</f>
        <v>42</v>
      </c>
    </row>
    <row r="24">
      <c r="B24" s="33" t="str">
        <f>IFERROR(__xludf.DUMMYFUNCTION("""COMPUTED_VALUE"""),"Won")</f>
        <v>Won</v>
      </c>
      <c r="C24" s="34">
        <f>IFERROR(__xludf.DUMMYFUNCTION("""COMPUTED_VALUE"""),29.0)</f>
        <v>29</v>
      </c>
    </row>
    <row r="26">
      <c r="E26" s="11" t="s">
        <v>32</v>
      </c>
      <c r="F26" s="11" t="s">
        <v>32</v>
      </c>
    </row>
    <row r="27">
      <c r="E27" s="11" t="s">
        <v>32</v>
      </c>
      <c r="F27" s="11" t="s">
        <v>32</v>
      </c>
    </row>
    <row r="28">
      <c r="E28" s="11" t="s">
        <v>378</v>
      </c>
      <c r="F28" s="11" t="s">
        <v>32</v>
      </c>
    </row>
  </sheetData>
  <mergeCells count="3">
    <mergeCell ref="B2:I2"/>
    <mergeCell ref="B3:I3"/>
    <mergeCell ref="G6:H6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4.0"/>
    <col customWidth="1" min="2" max="2" width="85.0"/>
    <col customWidth="1" min="3" max="26" width="8.63"/>
  </cols>
  <sheetData>
    <row r="1">
      <c r="A1" s="35" t="s">
        <v>486</v>
      </c>
    </row>
    <row r="2">
      <c r="A2" s="20" t="s">
        <v>298</v>
      </c>
      <c r="C2" s="20"/>
      <c r="D2" s="20"/>
      <c r="E2" s="20"/>
      <c r="F2" s="20"/>
      <c r="G2" s="20"/>
      <c r="H2" s="20"/>
    </row>
    <row r="3">
      <c r="A3" s="36"/>
      <c r="B3" s="37"/>
    </row>
    <row r="4">
      <c r="A4" s="38" t="s">
        <v>495</v>
      </c>
      <c r="B4" s="39" t="s">
        <v>496</v>
      </c>
    </row>
    <row r="5">
      <c r="A5" s="40" t="s">
        <v>497</v>
      </c>
      <c r="B5" s="37" t="s">
        <v>498</v>
      </c>
    </row>
    <row r="6">
      <c r="A6" s="40" t="s">
        <v>501</v>
      </c>
      <c r="B6" s="37" t="s">
        <v>503</v>
      </c>
    </row>
    <row r="7">
      <c r="A7" s="40" t="s">
        <v>504</v>
      </c>
      <c r="B7" s="37" t="s">
        <v>505</v>
      </c>
    </row>
    <row r="8">
      <c r="A8" s="40" t="s">
        <v>506</v>
      </c>
      <c r="B8" s="37" t="s">
        <v>507</v>
      </c>
    </row>
    <row r="9">
      <c r="A9" s="40" t="s">
        <v>510</v>
      </c>
      <c r="B9" s="37" t="s">
        <v>511</v>
      </c>
    </row>
    <row r="10">
      <c r="A10" s="40" t="s">
        <v>512</v>
      </c>
      <c r="B10" s="37" t="s">
        <v>513</v>
      </c>
    </row>
    <row r="11">
      <c r="B11" s="41"/>
    </row>
    <row r="12">
      <c r="A12" s="4" t="s">
        <v>514</v>
      </c>
      <c r="B12" s="41" t="s">
        <v>515</v>
      </c>
    </row>
    <row r="13">
      <c r="B13" s="41"/>
    </row>
    <row r="14">
      <c r="A14" s="42" t="s">
        <v>519</v>
      </c>
      <c r="B14" s="43" t="s">
        <v>520</v>
      </c>
    </row>
    <row r="15">
      <c r="A15" s="11" t="s">
        <v>521</v>
      </c>
      <c r="B15" s="44" t="s">
        <v>523</v>
      </c>
    </row>
    <row r="16">
      <c r="A16" s="11" t="s">
        <v>524</v>
      </c>
      <c r="B16" s="44" t="s">
        <v>525</v>
      </c>
    </row>
    <row r="17">
      <c r="A17" s="11" t="s">
        <v>526</v>
      </c>
      <c r="B17" s="44" t="s">
        <v>527</v>
      </c>
    </row>
    <row r="18">
      <c r="A18" s="11" t="s">
        <v>528</v>
      </c>
      <c r="B18" s="44" t="s">
        <v>529</v>
      </c>
    </row>
    <row r="19">
      <c r="A19" s="21" t="s">
        <v>533</v>
      </c>
      <c r="B19" s="44" t="s">
        <v>534</v>
      </c>
    </row>
    <row r="20">
      <c r="A20" s="45" t="s">
        <v>535</v>
      </c>
      <c r="B20" s="46" t="s">
        <v>536</v>
      </c>
    </row>
    <row r="21">
      <c r="A21" s="47" t="s">
        <v>539</v>
      </c>
      <c r="B21" s="46" t="s">
        <v>540</v>
      </c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mergeCells count="2">
    <mergeCell ref="A1:B1"/>
    <mergeCell ref="A2:B2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7.13"/>
  </cols>
  <sheetData>
    <row r="1" ht="23.25" customHeight="1">
      <c r="A1" s="48" t="s">
        <v>620</v>
      </c>
      <c r="B1" s="48" t="s">
        <v>623</v>
      </c>
    </row>
    <row r="2" ht="23.25" customHeight="1">
      <c r="A2" s="11" t="s">
        <v>321</v>
      </c>
      <c r="B2" s="4">
        <f>COUNTA(CLEAN_DATA!A2:A201)</f>
        <v>200</v>
      </c>
    </row>
    <row r="3" ht="23.25" customHeight="1">
      <c r="A3" s="11" t="s">
        <v>628</v>
      </c>
      <c r="B3" s="4">
        <f>IFERROR(__xludf.DUMMYFUNCTION("COUNTA(CLEAN_DATA!D2:D201)-COUNTA(UNIQUE(FILTER(CLEAN_DATA!D2:D201,CLEAN_DATA!D2:D201&lt;&gt;"""")))"),16.0)</f>
        <v>16</v>
      </c>
    </row>
    <row r="4" ht="23.25" customHeight="1">
      <c r="A4" s="11" t="s">
        <v>632</v>
      </c>
      <c r="B4" s="4">
        <f>COUNTIF(CLEAN_DATA!G2:G201,"Duplicate")</f>
        <v>18</v>
      </c>
    </row>
    <row r="5" ht="23.25" customHeight="1">
      <c r="A5" s="11" t="s">
        <v>635</v>
      </c>
      <c r="B5" s="49">
        <f>COUNTIF(CLEAN_DATA!H2:H201,"REMOVE*")</f>
        <v>9</v>
      </c>
    </row>
    <row r="6" ht="23.25" customHeight="1">
      <c r="A6" s="11" t="s">
        <v>641</v>
      </c>
      <c r="B6" s="49">
        <f>IFERROR(__xludf.DUMMYFUNCTION("COUNTA(UNIQUE(FILTER(CLEAN_DATA!D2:D201,CLEAN_DATA!G2:G201=""Duplicate"")))"),9.0)</f>
        <v>9</v>
      </c>
    </row>
    <row r="7" ht="23.25" customHeight="1">
      <c r="A7" s="11" t="s">
        <v>646</v>
      </c>
      <c r="B7" s="4">
        <f>IFERROR(__xludf.DUMMYFUNCTION("MAX(COUNTIF(CLEAN_DATA!D2:D201,UNIQUE(FILTER(CLEAN_DATA!D2:D201,CLEAN_DATA!G2:G201=""Duplicate""))))"),2.0)</f>
        <v>2</v>
      </c>
    </row>
    <row r="8" ht="23.25" customHeight="1">
      <c r="A8" s="11" t="s">
        <v>650</v>
      </c>
      <c r="B8" s="4">
        <f>COUNTBLANK(CLEAN_DATA!C2:C201)</f>
        <v>7</v>
      </c>
    </row>
    <row r="9" ht="23.25" customHeight="1">
      <c r="A9" s="11" t="s">
        <v>653</v>
      </c>
      <c r="B9" s="4">
        <f>IFERROR(__xludf.DUMMYFUNCTION("COUNTIF(ARRAYFORMULA(IF(CLEAN_DATA!C2:C201="""","""",REGEXMATCH(CLEAN_DATA!C2:C201,""^[^@\s]+@[^@\s]+\.[^@\s]+$""))),FALSE)"),8.0)</f>
        <v>8</v>
      </c>
    </row>
    <row r="10" ht="23.25" customHeight="1">
      <c r="A10" s="11" t="s">
        <v>658</v>
      </c>
      <c r="B10" s="4">
        <f>COUNTIF(CLEAN_DATA!I2:I201,"Invalid")</f>
        <v>8</v>
      </c>
    </row>
    <row r="11" ht="23.25" customHeight="1">
      <c r="A11" s="11" t="s">
        <v>344</v>
      </c>
      <c r="B11" s="4">
        <f>COUNTIF(CLEAN_DATA!E2:E201,"AUTO-FIX*")</f>
        <v>4</v>
      </c>
    </row>
    <row r="12" ht="23.25" customHeight="1">
      <c r="A12" s="11" t="s">
        <v>345</v>
      </c>
      <c r="B12" s="4">
        <f>COUNTIF(CLEAN_DATA!E2:E201,"REVIEW*")</f>
        <v>4</v>
      </c>
    </row>
    <row r="13" ht="23.25" customHeight="1">
      <c r="A13" s="11" t="s">
        <v>665</v>
      </c>
      <c r="B13" s="4">
        <f>COUNTBLANK(CLEAN_DATA!J2:J201)</f>
        <v>16</v>
      </c>
    </row>
    <row r="14" ht="23.25" customHeight="1">
      <c r="A14" s="11" t="s">
        <v>669</v>
      </c>
      <c r="B14" s="4">
        <f>COUNTBLANK(CLEAN_DATA!K2:K201)</f>
        <v>9</v>
      </c>
    </row>
    <row r="15" ht="23.25" customHeight="1">
      <c r="A15" s="11" t="s">
        <v>17</v>
      </c>
      <c r="B15" s="4">
        <f>COUNTBLANK(CLEAN_DATA!R2:R201)</f>
        <v>12</v>
      </c>
    </row>
    <row r="16" ht="23.25" customHeight="1">
      <c r="A16" s="11" t="s">
        <v>675</v>
      </c>
      <c r="B16" s="11">
        <v>4.0</v>
      </c>
    </row>
    <row r="17" ht="23.25" customHeight="1">
      <c r="A17" s="11" t="s">
        <v>676</v>
      </c>
      <c r="B17" s="4">
        <f>COUNTBLANK(CLEAN_DATA!T2:T201)</f>
        <v>10</v>
      </c>
    </row>
    <row r="18" ht="23.25" customHeight="1">
      <c r="A18" s="11" t="s">
        <v>678</v>
      </c>
      <c r="B18" s="4">
        <f>COUNTA(FINAL_DATA!A2:A1000)</f>
        <v>191</v>
      </c>
    </row>
    <row r="19" ht="23.25" customHeight="1">
      <c r="A19" s="11" t="s">
        <v>340</v>
      </c>
      <c r="B19" s="50">
        <f>(B2-B18)/B2</f>
        <v>0.045</v>
      </c>
    </row>
    <row r="20" ht="23.25" customHeight="1">
      <c r="A20" s="11" t="s">
        <v>348</v>
      </c>
      <c r="B20" s="4">
        <f>COUNTBLANK(FINAL_DATA!C2:C192)</f>
        <v>7</v>
      </c>
    </row>
    <row r="21" ht="23.25" customHeight="1"/>
    <row r="22" ht="23.25" customHeight="1"/>
    <row r="23" ht="23.25" customHeight="1"/>
    <row r="24" ht="23.25" customHeight="1"/>
    <row r="25" ht="23.25" customHeight="1"/>
    <row r="26" ht="23.25" customHeight="1"/>
    <row r="27" ht="23.25" customHeight="1"/>
    <row r="28" ht="23.25" customHeight="1"/>
    <row r="29" ht="23.25" customHeight="1"/>
    <row r="30" ht="23.25" customHeight="1"/>
    <row r="31" ht="23.25" customHeight="1"/>
    <row r="32" ht="23.25" customHeight="1"/>
    <row r="33" ht="23.25" customHeight="1"/>
    <row r="34" ht="23.25" customHeight="1"/>
    <row r="35" ht="23.25" customHeight="1"/>
    <row r="36" ht="23.25" customHeight="1"/>
    <row r="37" ht="23.25" customHeight="1"/>
    <row r="38" ht="23.25" customHeight="1"/>
    <row r="39" ht="23.25" customHeight="1"/>
    <row r="40" ht="23.25" customHeight="1"/>
    <row r="41" ht="23.25" customHeight="1"/>
    <row r="42" ht="23.25" customHeight="1"/>
    <row r="43" ht="23.25" customHeight="1"/>
    <row r="44" ht="23.25" customHeight="1"/>
    <row r="45" ht="23.25" customHeight="1"/>
    <row r="46" ht="23.25" customHeight="1"/>
    <row r="47" ht="23.25" customHeight="1"/>
    <row r="48" ht="23.25" customHeight="1"/>
    <row r="49" ht="23.25" customHeight="1"/>
    <row r="50" ht="23.25" customHeight="1"/>
    <row r="51" ht="23.25" customHeight="1"/>
    <row r="52" ht="23.25" customHeight="1"/>
    <row r="53" ht="23.25" customHeight="1"/>
    <row r="54" ht="23.25" customHeight="1"/>
    <row r="55" ht="23.25" customHeight="1"/>
    <row r="56" ht="23.25" customHeight="1"/>
    <row r="57" ht="23.25" customHeight="1"/>
    <row r="58" ht="23.25" customHeight="1"/>
    <row r="59" ht="23.25" customHeight="1"/>
    <row r="60" ht="23.25" customHeight="1"/>
    <row r="61" ht="23.25" customHeight="1"/>
    <row r="62" ht="23.25" customHeight="1"/>
    <row r="63" ht="23.25" customHeight="1"/>
    <row r="64" ht="23.25" customHeight="1"/>
    <row r="65" ht="23.25" customHeight="1"/>
    <row r="66" ht="23.25" customHeight="1"/>
    <row r="67" ht="23.25" customHeight="1"/>
    <row r="68" ht="23.25" customHeight="1"/>
    <row r="69" ht="23.25" customHeight="1"/>
    <row r="70" ht="23.25" customHeight="1"/>
    <row r="71" ht="23.25" customHeight="1"/>
    <row r="72" ht="23.25" customHeight="1"/>
    <row r="73" ht="23.25" customHeight="1"/>
    <row r="74" ht="23.25" customHeight="1"/>
    <row r="75" ht="23.25" customHeight="1"/>
    <row r="76" ht="23.25" customHeight="1"/>
    <row r="77" ht="23.25" customHeight="1"/>
    <row r="78" ht="23.25" customHeight="1"/>
    <row r="79" ht="23.25" customHeight="1"/>
    <row r="80" ht="23.25" customHeight="1"/>
    <row r="81" ht="23.25" customHeight="1"/>
    <row r="82" ht="23.25" customHeight="1"/>
    <row r="83" ht="23.25" customHeight="1"/>
    <row r="84" ht="23.25" customHeight="1"/>
    <row r="85" ht="23.25" customHeight="1"/>
    <row r="86" ht="23.25" customHeight="1"/>
    <row r="87" ht="23.25" customHeight="1"/>
    <row r="88" ht="23.25" customHeight="1"/>
    <row r="89" ht="23.25" customHeight="1"/>
    <row r="90" ht="23.25" customHeight="1"/>
    <row r="91" ht="23.25" customHeight="1"/>
    <row r="92" ht="23.25" customHeight="1"/>
    <row r="93" ht="23.25" customHeight="1"/>
    <row r="94" ht="23.25" customHeight="1"/>
    <row r="95" ht="23.25" customHeight="1"/>
    <row r="96" ht="23.25" customHeight="1"/>
    <row r="97" ht="23.25" customHeight="1"/>
    <row r="98" ht="23.25" customHeight="1"/>
    <row r="99" ht="23.25" customHeight="1"/>
    <row r="100" ht="23.25" customHeight="1"/>
    <row r="101" ht="23.25" customHeight="1"/>
    <row r="102" ht="23.25" customHeight="1"/>
    <row r="103" ht="23.25" customHeight="1"/>
    <row r="104" ht="23.25" customHeight="1"/>
    <row r="105" ht="23.25" customHeight="1"/>
    <row r="106" ht="23.25" customHeight="1"/>
    <row r="107" ht="23.25" customHeight="1"/>
    <row r="108" ht="23.25" customHeight="1"/>
    <row r="109" ht="23.25" customHeight="1"/>
    <row r="110" ht="23.25" customHeight="1"/>
    <row r="111" ht="23.25" customHeight="1"/>
    <row r="112" ht="23.25" customHeight="1"/>
    <row r="113" ht="23.25" customHeight="1"/>
    <row r="114" ht="23.25" customHeight="1"/>
    <row r="115" ht="23.25" customHeight="1"/>
    <row r="116" ht="23.25" customHeight="1"/>
    <row r="117" ht="23.25" customHeight="1"/>
    <row r="118" ht="23.25" customHeight="1"/>
    <row r="119" ht="23.25" customHeight="1"/>
    <row r="120" ht="23.25" customHeight="1"/>
    <row r="121" ht="23.25" customHeight="1"/>
    <row r="122" ht="23.25" customHeight="1"/>
    <row r="123" ht="23.25" customHeight="1"/>
    <row r="124" ht="23.25" customHeight="1"/>
    <row r="125" ht="23.25" customHeight="1"/>
    <row r="126" ht="23.25" customHeight="1"/>
    <row r="127" ht="23.25" customHeight="1"/>
    <row r="128" ht="23.25" customHeight="1"/>
    <row r="129" ht="23.25" customHeight="1"/>
    <row r="130" ht="23.25" customHeight="1"/>
    <row r="131" ht="23.25" customHeight="1"/>
    <row r="132" ht="23.25" customHeight="1"/>
    <row r="133" ht="23.25" customHeight="1"/>
    <row r="134" ht="23.25" customHeight="1"/>
    <row r="135" ht="23.25" customHeight="1"/>
    <row r="136" ht="23.25" customHeight="1"/>
    <row r="137" ht="23.25" customHeight="1"/>
    <row r="138" ht="23.25" customHeight="1"/>
    <row r="139" ht="23.25" customHeight="1"/>
    <row r="140" ht="23.25" customHeight="1"/>
    <row r="141" ht="23.25" customHeight="1"/>
    <row r="142" ht="23.25" customHeight="1"/>
    <row r="143" ht="23.25" customHeight="1"/>
    <row r="144" ht="23.25" customHeight="1"/>
    <row r="145" ht="23.25" customHeight="1"/>
    <row r="146" ht="23.25" customHeight="1"/>
    <row r="147" ht="23.25" customHeight="1"/>
    <row r="148" ht="23.25" customHeight="1"/>
    <row r="149" ht="23.25" customHeight="1"/>
    <row r="150" ht="23.25" customHeight="1"/>
    <row r="151" ht="23.25" customHeight="1"/>
    <row r="152" ht="23.25" customHeight="1"/>
    <row r="153" ht="23.25" customHeight="1"/>
    <row r="154" ht="23.25" customHeight="1"/>
    <row r="155" ht="23.25" customHeight="1"/>
    <row r="156" ht="23.25" customHeight="1"/>
    <row r="157" ht="23.25" customHeight="1"/>
    <row r="158" ht="23.25" customHeight="1"/>
    <row r="159" ht="23.25" customHeight="1"/>
    <row r="160" ht="23.25" customHeight="1"/>
    <row r="161" ht="23.25" customHeight="1"/>
    <row r="162" ht="23.25" customHeight="1"/>
    <row r="163" ht="23.25" customHeight="1"/>
    <row r="164" ht="23.25" customHeight="1"/>
    <row r="165" ht="23.25" customHeight="1"/>
    <row r="166" ht="23.25" customHeight="1"/>
    <row r="167" ht="23.25" customHeight="1"/>
    <row r="168" ht="23.25" customHeight="1"/>
    <row r="169" ht="23.25" customHeight="1"/>
    <row r="170" ht="23.25" customHeight="1"/>
    <row r="171" ht="23.25" customHeight="1"/>
    <row r="172" ht="23.25" customHeight="1"/>
    <row r="173" ht="23.25" customHeight="1"/>
    <row r="174" ht="23.25" customHeight="1"/>
    <row r="175" ht="23.25" customHeight="1"/>
    <row r="176" ht="23.25" customHeight="1"/>
    <row r="177" ht="23.25" customHeight="1"/>
    <row r="178" ht="23.25" customHeight="1"/>
    <row r="179" ht="23.25" customHeight="1"/>
    <row r="180" ht="23.25" customHeight="1"/>
    <row r="181" ht="23.25" customHeight="1"/>
    <row r="182" ht="23.25" customHeight="1"/>
    <row r="183" ht="23.25" customHeight="1"/>
    <row r="184" ht="23.25" customHeight="1"/>
    <row r="185" ht="23.25" customHeight="1"/>
    <row r="186" ht="23.25" customHeight="1"/>
    <row r="187" ht="23.25" customHeight="1"/>
    <row r="188" ht="23.25" customHeight="1"/>
    <row r="189" ht="23.25" customHeight="1"/>
    <row r="190" ht="23.25" customHeight="1"/>
    <row r="191" ht="23.25" customHeight="1"/>
    <row r="192" ht="23.25" customHeight="1"/>
    <row r="193" ht="23.25" customHeight="1"/>
    <row r="194" ht="23.25" customHeight="1"/>
    <row r="195" ht="23.25" customHeight="1"/>
    <row r="196" ht="23.25" customHeight="1"/>
    <row r="197" ht="23.25" customHeight="1"/>
    <row r="198" ht="23.25" customHeight="1"/>
    <row r="199" ht="23.25" customHeight="1"/>
    <row r="200" ht="23.25" customHeight="1"/>
    <row r="201" ht="23.25" customHeight="1"/>
    <row r="202" ht="23.25" customHeight="1"/>
    <row r="203" ht="23.25" customHeight="1"/>
    <row r="204" ht="23.25" customHeight="1"/>
    <row r="205" ht="23.25" customHeight="1"/>
    <row r="206" ht="23.25" customHeight="1"/>
    <row r="207" ht="23.25" customHeight="1"/>
    <row r="208" ht="23.25" customHeight="1"/>
    <row r="209" ht="23.25" customHeight="1"/>
    <row r="210" ht="23.25" customHeight="1"/>
    <row r="211" ht="23.25" customHeight="1"/>
    <row r="212" ht="23.25" customHeight="1"/>
    <row r="213" ht="23.25" customHeight="1"/>
    <row r="214" ht="23.25" customHeight="1"/>
    <row r="215" ht="23.25" customHeight="1"/>
    <row r="216" ht="23.25" customHeight="1"/>
    <row r="217" ht="23.25" customHeight="1"/>
    <row r="218" ht="23.25" customHeight="1"/>
    <row r="219" ht="23.25" customHeight="1"/>
    <row r="220" ht="23.25" customHeight="1"/>
    <row r="221" ht="23.25" customHeight="1"/>
    <row r="222" ht="23.25" customHeight="1"/>
    <row r="223" ht="23.25" customHeight="1"/>
    <row r="224" ht="23.25" customHeight="1"/>
    <row r="225" ht="23.25" customHeight="1"/>
    <row r="226" ht="23.25" customHeight="1"/>
    <row r="227" ht="23.25" customHeight="1"/>
    <row r="228" ht="23.25" customHeight="1"/>
    <row r="229" ht="23.25" customHeight="1"/>
    <row r="230" ht="23.25" customHeight="1"/>
    <row r="231" ht="23.25" customHeight="1"/>
    <row r="232" ht="23.25" customHeight="1"/>
    <row r="233" ht="23.25" customHeight="1"/>
    <row r="234" ht="23.25" customHeight="1"/>
    <row r="235" ht="23.25" customHeight="1"/>
    <row r="236" ht="23.25" customHeight="1"/>
    <row r="237" ht="23.25" customHeight="1"/>
    <row r="238" ht="23.25" customHeight="1"/>
    <row r="239" ht="23.25" customHeight="1"/>
    <row r="240" ht="23.25" customHeight="1"/>
    <row r="241" ht="23.25" customHeight="1"/>
    <row r="242" ht="23.25" customHeight="1"/>
    <row r="243" ht="23.25" customHeight="1"/>
    <row r="244" ht="23.25" customHeight="1"/>
    <row r="245" ht="23.25" customHeight="1"/>
    <row r="246" ht="23.25" customHeight="1"/>
    <row r="247" ht="23.25" customHeight="1"/>
    <row r="248" ht="23.25" customHeight="1"/>
    <row r="249" ht="23.25" customHeight="1"/>
    <row r="250" ht="23.25" customHeight="1"/>
    <row r="251" ht="23.25" customHeight="1"/>
    <row r="252" ht="23.25" customHeight="1"/>
    <row r="253" ht="23.25" customHeight="1"/>
    <row r="254" ht="23.25" customHeight="1"/>
    <row r="255" ht="23.25" customHeight="1"/>
    <row r="256" ht="23.25" customHeight="1"/>
    <row r="257" ht="23.25" customHeight="1"/>
    <row r="258" ht="23.25" customHeight="1"/>
    <row r="259" ht="23.25" customHeight="1"/>
    <row r="260" ht="23.25" customHeight="1"/>
    <row r="261" ht="23.25" customHeight="1"/>
    <row r="262" ht="23.25" customHeight="1"/>
    <row r="263" ht="23.25" customHeight="1"/>
    <row r="264" ht="23.25" customHeight="1"/>
    <row r="265" ht="23.25" customHeight="1"/>
    <row r="266" ht="23.25" customHeight="1"/>
    <row r="267" ht="23.25" customHeight="1"/>
    <row r="268" ht="23.25" customHeight="1"/>
    <row r="269" ht="23.25" customHeight="1"/>
    <row r="270" ht="23.25" customHeight="1"/>
    <row r="271" ht="23.25" customHeight="1"/>
    <row r="272" ht="23.25" customHeight="1"/>
    <row r="273" ht="23.25" customHeight="1"/>
    <row r="274" ht="23.25" customHeight="1"/>
    <row r="275" ht="23.25" customHeight="1"/>
    <row r="276" ht="23.25" customHeight="1"/>
    <row r="277" ht="23.25" customHeight="1"/>
    <row r="278" ht="23.25" customHeight="1"/>
    <row r="279" ht="23.25" customHeight="1"/>
    <row r="280" ht="23.25" customHeight="1"/>
    <row r="281" ht="23.25" customHeight="1"/>
    <row r="282" ht="23.25" customHeight="1"/>
    <row r="283" ht="23.25" customHeight="1"/>
    <row r="284" ht="23.25" customHeight="1"/>
    <row r="285" ht="23.25" customHeight="1"/>
    <row r="286" ht="23.25" customHeight="1"/>
    <row r="287" ht="23.25" customHeight="1"/>
    <row r="288" ht="23.25" customHeight="1"/>
    <row r="289" ht="23.25" customHeight="1"/>
    <row r="290" ht="23.25" customHeight="1"/>
    <row r="291" ht="23.25" customHeight="1"/>
    <row r="292" ht="23.25" customHeight="1"/>
    <row r="293" ht="23.25" customHeight="1"/>
    <row r="294" ht="23.25" customHeight="1"/>
    <row r="295" ht="23.25" customHeight="1"/>
    <row r="296" ht="23.25" customHeight="1"/>
    <row r="297" ht="23.25" customHeight="1"/>
    <row r="298" ht="23.25" customHeight="1"/>
    <row r="299" ht="23.25" customHeight="1"/>
    <row r="300" ht="23.25" customHeight="1"/>
    <row r="301" ht="23.25" customHeight="1"/>
    <row r="302" ht="23.25" customHeight="1"/>
    <row r="303" ht="23.25" customHeight="1"/>
    <row r="304" ht="23.25" customHeight="1"/>
    <row r="305" ht="23.25" customHeight="1"/>
    <row r="306" ht="23.25" customHeight="1"/>
    <row r="307" ht="23.25" customHeight="1"/>
    <row r="308" ht="23.25" customHeight="1"/>
    <row r="309" ht="23.25" customHeight="1"/>
    <row r="310" ht="23.25" customHeight="1"/>
    <row r="311" ht="23.25" customHeight="1"/>
    <row r="312" ht="23.25" customHeight="1"/>
    <row r="313" ht="23.25" customHeight="1"/>
    <row r="314" ht="23.25" customHeight="1"/>
    <row r="315" ht="23.25" customHeight="1"/>
    <row r="316" ht="23.25" customHeight="1"/>
    <row r="317" ht="23.25" customHeight="1"/>
    <row r="318" ht="23.25" customHeight="1"/>
    <row r="319" ht="23.25" customHeight="1"/>
    <row r="320" ht="23.25" customHeight="1"/>
    <row r="321" ht="23.25" customHeight="1"/>
    <row r="322" ht="23.25" customHeight="1"/>
    <row r="323" ht="23.25" customHeight="1"/>
    <row r="324" ht="23.25" customHeight="1"/>
    <row r="325" ht="23.25" customHeight="1"/>
    <row r="326" ht="23.25" customHeight="1"/>
    <row r="327" ht="23.25" customHeight="1"/>
    <row r="328" ht="23.25" customHeight="1"/>
    <row r="329" ht="23.25" customHeight="1"/>
    <row r="330" ht="23.25" customHeight="1"/>
    <row r="331" ht="23.25" customHeight="1"/>
    <row r="332" ht="23.25" customHeight="1"/>
    <row r="333" ht="23.25" customHeight="1"/>
    <row r="334" ht="23.25" customHeight="1"/>
    <row r="335" ht="23.25" customHeight="1"/>
    <row r="336" ht="23.25" customHeight="1"/>
    <row r="337" ht="23.25" customHeight="1"/>
    <row r="338" ht="23.25" customHeight="1"/>
    <row r="339" ht="23.25" customHeight="1"/>
    <row r="340" ht="23.25" customHeight="1"/>
    <row r="341" ht="23.25" customHeight="1"/>
    <row r="342" ht="23.25" customHeight="1"/>
    <row r="343" ht="23.25" customHeight="1"/>
    <row r="344" ht="23.25" customHeight="1"/>
    <row r="345" ht="23.25" customHeight="1"/>
    <row r="346" ht="23.25" customHeight="1"/>
    <row r="347" ht="23.25" customHeight="1"/>
    <row r="348" ht="23.25" customHeight="1"/>
    <row r="349" ht="23.25" customHeight="1"/>
    <row r="350" ht="23.25" customHeight="1"/>
    <row r="351" ht="23.25" customHeight="1"/>
    <row r="352" ht="23.25" customHeight="1"/>
    <row r="353" ht="23.25" customHeight="1"/>
    <row r="354" ht="23.25" customHeight="1"/>
    <row r="355" ht="23.25" customHeight="1"/>
    <row r="356" ht="23.25" customHeight="1"/>
    <row r="357" ht="23.25" customHeight="1"/>
    <row r="358" ht="23.25" customHeight="1"/>
    <row r="359" ht="23.25" customHeight="1"/>
    <row r="360" ht="23.25" customHeight="1"/>
    <row r="361" ht="23.25" customHeight="1"/>
    <row r="362" ht="23.25" customHeight="1"/>
    <row r="363" ht="23.25" customHeight="1"/>
    <row r="364" ht="23.25" customHeight="1"/>
    <row r="365" ht="23.25" customHeight="1"/>
    <row r="366" ht="23.25" customHeight="1"/>
    <row r="367" ht="23.25" customHeight="1"/>
    <row r="368" ht="23.25" customHeight="1"/>
    <row r="369" ht="23.25" customHeight="1"/>
    <row r="370" ht="23.25" customHeight="1"/>
    <row r="371" ht="23.25" customHeight="1"/>
    <row r="372" ht="23.25" customHeight="1"/>
    <row r="373" ht="23.25" customHeight="1"/>
    <row r="374" ht="23.25" customHeight="1"/>
    <row r="375" ht="23.25" customHeight="1"/>
    <row r="376" ht="23.25" customHeight="1"/>
    <row r="377" ht="23.25" customHeight="1"/>
    <row r="378" ht="23.25" customHeight="1"/>
    <row r="379" ht="23.25" customHeight="1"/>
    <row r="380" ht="23.25" customHeight="1"/>
    <row r="381" ht="23.25" customHeight="1"/>
    <row r="382" ht="23.25" customHeight="1"/>
    <row r="383" ht="23.25" customHeight="1"/>
    <row r="384" ht="23.25" customHeight="1"/>
    <row r="385" ht="23.25" customHeight="1"/>
    <row r="386" ht="23.25" customHeight="1"/>
    <row r="387" ht="23.25" customHeight="1"/>
    <row r="388" ht="23.25" customHeight="1"/>
    <row r="389" ht="23.25" customHeight="1"/>
    <row r="390" ht="23.25" customHeight="1"/>
    <row r="391" ht="23.25" customHeight="1"/>
    <row r="392" ht="23.25" customHeight="1"/>
    <row r="393" ht="23.25" customHeight="1"/>
    <row r="394" ht="23.25" customHeight="1"/>
    <row r="395" ht="23.25" customHeight="1"/>
    <row r="396" ht="23.25" customHeight="1"/>
    <row r="397" ht="23.25" customHeight="1"/>
    <row r="398" ht="23.25" customHeight="1"/>
    <row r="399" ht="23.25" customHeight="1"/>
    <row r="400" ht="23.25" customHeight="1"/>
    <row r="401" ht="23.25" customHeight="1"/>
    <row r="402" ht="23.25" customHeight="1"/>
    <row r="403" ht="23.25" customHeight="1"/>
    <row r="404" ht="23.25" customHeight="1"/>
    <row r="405" ht="23.25" customHeight="1"/>
    <row r="406" ht="23.25" customHeight="1"/>
    <row r="407" ht="23.25" customHeight="1"/>
    <row r="408" ht="23.25" customHeight="1"/>
    <row r="409" ht="23.25" customHeight="1"/>
    <row r="410" ht="23.25" customHeight="1"/>
    <row r="411" ht="23.25" customHeight="1"/>
    <row r="412" ht="23.25" customHeight="1"/>
    <row r="413" ht="23.25" customHeight="1"/>
    <row r="414" ht="23.25" customHeight="1"/>
    <row r="415" ht="23.25" customHeight="1"/>
    <row r="416" ht="23.25" customHeight="1"/>
    <row r="417" ht="23.25" customHeight="1"/>
    <row r="418" ht="23.25" customHeight="1"/>
    <row r="419" ht="23.25" customHeight="1"/>
    <row r="420" ht="23.25" customHeight="1"/>
    <row r="421" ht="23.25" customHeight="1"/>
    <row r="422" ht="23.25" customHeight="1"/>
    <row r="423" ht="23.25" customHeight="1"/>
    <row r="424" ht="23.25" customHeight="1"/>
    <row r="425" ht="23.25" customHeight="1"/>
    <row r="426" ht="23.25" customHeight="1"/>
    <row r="427" ht="23.25" customHeight="1"/>
    <row r="428" ht="23.25" customHeight="1"/>
    <row r="429" ht="23.25" customHeight="1"/>
    <row r="430" ht="23.25" customHeight="1"/>
    <row r="431" ht="23.25" customHeight="1"/>
    <row r="432" ht="23.25" customHeight="1"/>
    <row r="433" ht="23.25" customHeight="1"/>
    <row r="434" ht="23.25" customHeight="1"/>
    <row r="435" ht="23.25" customHeight="1"/>
    <row r="436" ht="23.25" customHeight="1"/>
    <row r="437" ht="23.25" customHeight="1"/>
    <row r="438" ht="23.25" customHeight="1"/>
    <row r="439" ht="23.25" customHeight="1"/>
    <row r="440" ht="23.25" customHeight="1"/>
    <row r="441" ht="23.25" customHeight="1"/>
    <row r="442" ht="23.25" customHeight="1"/>
    <row r="443" ht="23.25" customHeight="1"/>
    <row r="444" ht="23.25" customHeight="1"/>
    <row r="445" ht="23.25" customHeight="1"/>
    <row r="446" ht="23.25" customHeight="1"/>
    <row r="447" ht="23.25" customHeight="1"/>
    <row r="448" ht="23.25" customHeight="1"/>
    <row r="449" ht="23.25" customHeight="1"/>
    <row r="450" ht="23.25" customHeight="1"/>
    <row r="451" ht="23.25" customHeight="1"/>
    <row r="452" ht="23.25" customHeight="1"/>
    <row r="453" ht="23.25" customHeight="1"/>
    <row r="454" ht="23.25" customHeight="1"/>
    <row r="455" ht="23.25" customHeight="1"/>
    <row r="456" ht="23.25" customHeight="1"/>
    <row r="457" ht="23.25" customHeight="1"/>
    <row r="458" ht="23.25" customHeight="1"/>
    <row r="459" ht="23.25" customHeight="1"/>
    <row r="460" ht="23.25" customHeight="1"/>
    <row r="461" ht="23.25" customHeight="1"/>
    <row r="462" ht="23.25" customHeight="1"/>
    <row r="463" ht="23.25" customHeight="1"/>
    <row r="464" ht="23.25" customHeight="1"/>
    <row r="465" ht="23.25" customHeight="1"/>
    <row r="466" ht="23.25" customHeight="1"/>
    <row r="467" ht="23.25" customHeight="1"/>
    <row r="468" ht="23.25" customHeight="1"/>
    <row r="469" ht="23.25" customHeight="1"/>
    <row r="470" ht="23.25" customHeight="1"/>
    <row r="471" ht="23.25" customHeight="1"/>
    <row r="472" ht="23.25" customHeight="1"/>
    <row r="473" ht="23.25" customHeight="1"/>
    <row r="474" ht="23.25" customHeight="1"/>
    <row r="475" ht="23.25" customHeight="1"/>
    <row r="476" ht="23.25" customHeight="1"/>
    <row r="477" ht="23.25" customHeight="1"/>
    <row r="478" ht="23.25" customHeight="1"/>
    <row r="479" ht="23.25" customHeight="1"/>
    <row r="480" ht="23.25" customHeight="1"/>
    <row r="481" ht="23.25" customHeight="1"/>
    <row r="482" ht="23.25" customHeight="1"/>
    <row r="483" ht="23.25" customHeight="1"/>
    <row r="484" ht="23.25" customHeight="1"/>
    <row r="485" ht="23.25" customHeight="1"/>
    <row r="486" ht="23.25" customHeight="1"/>
    <row r="487" ht="23.25" customHeight="1"/>
    <row r="488" ht="23.25" customHeight="1"/>
    <row r="489" ht="23.25" customHeight="1"/>
    <row r="490" ht="23.25" customHeight="1"/>
    <row r="491" ht="23.25" customHeight="1"/>
    <row r="492" ht="23.25" customHeight="1"/>
    <row r="493" ht="23.25" customHeight="1"/>
    <row r="494" ht="23.25" customHeight="1"/>
    <row r="495" ht="23.25" customHeight="1"/>
    <row r="496" ht="23.25" customHeight="1"/>
    <row r="497" ht="23.25" customHeight="1"/>
    <row r="498" ht="23.25" customHeight="1"/>
    <row r="499" ht="23.25" customHeight="1"/>
    <row r="500" ht="23.25" customHeight="1"/>
    <row r="501" ht="23.25" customHeight="1"/>
    <row r="502" ht="23.25" customHeight="1"/>
    <row r="503" ht="23.25" customHeight="1"/>
    <row r="504" ht="23.25" customHeight="1"/>
    <row r="505" ht="23.25" customHeight="1"/>
    <row r="506" ht="23.25" customHeight="1"/>
    <row r="507" ht="23.25" customHeight="1"/>
    <row r="508" ht="23.25" customHeight="1"/>
    <row r="509" ht="23.25" customHeight="1"/>
    <row r="510" ht="23.25" customHeight="1"/>
    <row r="511" ht="23.25" customHeight="1"/>
    <row r="512" ht="23.25" customHeight="1"/>
    <row r="513" ht="23.25" customHeight="1"/>
    <row r="514" ht="23.25" customHeight="1"/>
    <row r="515" ht="23.25" customHeight="1"/>
    <row r="516" ht="23.25" customHeight="1"/>
    <row r="517" ht="23.25" customHeight="1"/>
    <row r="518" ht="23.25" customHeight="1"/>
    <row r="519" ht="23.25" customHeight="1"/>
    <row r="520" ht="23.25" customHeight="1"/>
    <row r="521" ht="23.25" customHeight="1"/>
    <row r="522" ht="23.25" customHeight="1"/>
    <row r="523" ht="23.25" customHeight="1"/>
    <row r="524" ht="23.25" customHeight="1"/>
    <row r="525" ht="23.25" customHeight="1"/>
    <row r="526" ht="23.25" customHeight="1"/>
    <row r="527" ht="23.25" customHeight="1"/>
    <row r="528" ht="23.25" customHeight="1"/>
    <row r="529" ht="23.25" customHeight="1"/>
    <row r="530" ht="23.25" customHeight="1"/>
    <row r="531" ht="23.25" customHeight="1"/>
    <row r="532" ht="23.25" customHeight="1"/>
    <row r="533" ht="23.25" customHeight="1"/>
    <row r="534" ht="23.25" customHeight="1"/>
    <row r="535" ht="23.25" customHeight="1"/>
    <row r="536" ht="23.25" customHeight="1"/>
    <row r="537" ht="23.25" customHeight="1"/>
    <row r="538" ht="23.25" customHeight="1"/>
    <row r="539" ht="23.25" customHeight="1"/>
    <row r="540" ht="23.25" customHeight="1"/>
    <row r="541" ht="23.25" customHeight="1"/>
    <row r="542" ht="23.25" customHeight="1"/>
    <row r="543" ht="23.25" customHeight="1"/>
    <row r="544" ht="23.25" customHeight="1"/>
    <row r="545" ht="23.25" customHeight="1"/>
    <row r="546" ht="23.25" customHeight="1"/>
    <row r="547" ht="23.25" customHeight="1"/>
    <row r="548" ht="23.25" customHeight="1"/>
    <row r="549" ht="23.25" customHeight="1"/>
    <row r="550" ht="23.25" customHeight="1"/>
    <row r="551" ht="23.25" customHeight="1"/>
    <row r="552" ht="23.25" customHeight="1"/>
    <row r="553" ht="23.25" customHeight="1"/>
    <row r="554" ht="23.25" customHeight="1"/>
    <row r="555" ht="23.25" customHeight="1"/>
    <row r="556" ht="23.25" customHeight="1"/>
    <row r="557" ht="23.25" customHeight="1"/>
    <row r="558" ht="23.25" customHeight="1"/>
    <row r="559" ht="23.25" customHeight="1"/>
    <row r="560" ht="23.25" customHeight="1"/>
    <row r="561" ht="23.25" customHeight="1"/>
    <row r="562" ht="23.25" customHeight="1"/>
    <row r="563" ht="23.25" customHeight="1"/>
    <row r="564" ht="23.25" customHeight="1"/>
    <row r="565" ht="23.25" customHeight="1"/>
    <row r="566" ht="23.25" customHeight="1"/>
    <row r="567" ht="23.25" customHeight="1"/>
    <row r="568" ht="23.25" customHeight="1"/>
    <row r="569" ht="23.25" customHeight="1"/>
    <row r="570" ht="23.25" customHeight="1"/>
    <row r="571" ht="23.25" customHeight="1"/>
    <row r="572" ht="23.25" customHeight="1"/>
    <row r="573" ht="23.25" customHeight="1"/>
    <row r="574" ht="23.25" customHeight="1"/>
    <row r="575" ht="23.25" customHeight="1"/>
    <row r="576" ht="23.25" customHeight="1"/>
    <row r="577" ht="23.25" customHeight="1"/>
    <row r="578" ht="23.25" customHeight="1"/>
    <row r="579" ht="23.25" customHeight="1"/>
    <row r="580" ht="23.25" customHeight="1"/>
    <row r="581" ht="23.25" customHeight="1"/>
    <row r="582" ht="23.25" customHeight="1"/>
    <row r="583" ht="23.25" customHeight="1"/>
    <row r="584" ht="23.25" customHeight="1"/>
    <row r="585" ht="23.25" customHeight="1"/>
    <row r="586" ht="23.25" customHeight="1"/>
    <row r="587" ht="23.25" customHeight="1"/>
    <row r="588" ht="23.25" customHeight="1"/>
    <row r="589" ht="23.25" customHeight="1"/>
    <row r="590" ht="23.25" customHeight="1"/>
    <row r="591" ht="23.25" customHeight="1"/>
    <row r="592" ht="23.25" customHeight="1"/>
    <row r="593" ht="23.25" customHeight="1"/>
    <row r="594" ht="23.25" customHeight="1"/>
    <row r="595" ht="23.25" customHeight="1"/>
    <row r="596" ht="23.25" customHeight="1"/>
    <row r="597" ht="23.25" customHeight="1"/>
    <row r="598" ht="23.25" customHeight="1"/>
    <row r="599" ht="23.25" customHeight="1"/>
    <row r="600" ht="23.25" customHeight="1"/>
    <row r="601" ht="23.25" customHeight="1"/>
    <row r="602" ht="23.25" customHeight="1"/>
    <row r="603" ht="23.25" customHeight="1"/>
    <row r="604" ht="23.25" customHeight="1"/>
    <row r="605" ht="23.25" customHeight="1"/>
    <row r="606" ht="23.25" customHeight="1"/>
    <row r="607" ht="23.25" customHeight="1"/>
    <row r="608" ht="23.25" customHeight="1"/>
    <row r="609" ht="23.25" customHeight="1"/>
    <row r="610" ht="23.25" customHeight="1"/>
    <row r="611" ht="23.25" customHeight="1"/>
    <row r="612" ht="23.25" customHeight="1"/>
    <row r="613" ht="23.25" customHeight="1"/>
    <row r="614" ht="23.25" customHeight="1"/>
    <row r="615" ht="23.25" customHeight="1"/>
    <row r="616" ht="23.25" customHeight="1"/>
    <row r="617" ht="23.25" customHeight="1"/>
    <row r="618" ht="23.25" customHeight="1"/>
    <row r="619" ht="23.25" customHeight="1"/>
    <row r="620" ht="23.25" customHeight="1"/>
    <row r="621" ht="23.25" customHeight="1"/>
    <row r="622" ht="23.25" customHeight="1"/>
    <row r="623" ht="23.25" customHeight="1"/>
    <row r="624" ht="23.25" customHeight="1"/>
    <row r="625" ht="23.25" customHeight="1"/>
    <row r="626" ht="23.25" customHeight="1"/>
    <row r="627" ht="23.25" customHeight="1"/>
    <row r="628" ht="23.25" customHeight="1"/>
    <row r="629" ht="23.25" customHeight="1"/>
    <row r="630" ht="23.25" customHeight="1"/>
    <row r="631" ht="23.25" customHeight="1"/>
    <row r="632" ht="23.25" customHeight="1"/>
    <row r="633" ht="23.25" customHeight="1"/>
    <row r="634" ht="23.25" customHeight="1"/>
    <row r="635" ht="23.25" customHeight="1"/>
    <row r="636" ht="23.25" customHeight="1"/>
    <row r="637" ht="23.25" customHeight="1"/>
    <row r="638" ht="23.25" customHeight="1"/>
    <row r="639" ht="23.25" customHeight="1"/>
    <row r="640" ht="23.25" customHeight="1"/>
    <row r="641" ht="23.25" customHeight="1"/>
    <row r="642" ht="23.25" customHeight="1"/>
    <row r="643" ht="23.25" customHeight="1"/>
    <row r="644" ht="23.25" customHeight="1"/>
    <row r="645" ht="23.25" customHeight="1"/>
    <row r="646" ht="23.25" customHeight="1"/>
    <row r="647" ht="23.25" customHeight="1"/>
    <row r="648" ht="23.25" customHeight="1"/>
    <row r="649" ht="23.25" customHeight="1"/>
    <row r="650" ht="23.25" customHeight="1"/>
    <row r="651" ht="23.25" customHeight="1"/>
    <row r="652" ht="23.25" customHeight="1"/>
    <row r="653" ht="23.25" customHeight="1"/>
    <row r="654" ht="23.25" customHeight="1"/>
    <row r="655" ht="23.25" customHeight="1"/>
    <row r="656" ht="23.25" customHeight="1"/>
    <row r="657" ht="23.25" customHeight="1"/>
    <row r="658" ht="23.25" customHeight="1"/>
    <row r="659" ht="23.25" customHeight="1"/>
    <row r="660" ht="23.25" customHeight="1"/>
    <row r="661" ht="23.25" customHeight="1"/>
    <row r="662" ht="23.25" customHeight="1"/>
    <row r="663" ht="23.25" customHeight="1"/>
    <row r="664" ht="23.25" customHeight="1"/>
    <row r="665" ht="23.25" customHeight="1"/>
    <row r="666" ht="23.25" customHeight="1"/>
    <row r="667" ht="23.25" customHeight="1"/>
    <row r="668" ht="23.25" customHeight="1"/>
    <row r="669" ht="23.25" customHeight="1"/>
    <row r="670" ht="23.25" customHeight="1"/>
    <row r="671" ht="23.25" customHeight="1"/>
    <row r="672" ht="23.25" customHeight="1"/>
    <row r="673" ht="23.25" customHeight="1"/>
    <row r="674" ht="23.25" customHeight="1"/>
    <row r="675" ht="23.25" customHeight="1"/>
    <row r="676" ht="23.25" customHeight="1"/>
    <row r="677" ht="23.25" customHeight="1"/>
    <row r="678" ht="23.25" customHeight="1"/>
    <row r="679" ht="23.25" customHeight="1"/>
    <row r="680" ht="23.25" customHeight="1"/>
    <row r="681" ht="23.25" customHeight="1"/>
    <row r="682" ht="23.25" customHeight="1"/>
    <row r="683" ht="23.25" customHeight="1"/>
    <row r="684" ht="23.25" customHeight="1"/>
    <row r="685" ht="23.25" customHeight="1"/>
    <row r="686" ht="23.25" customHeight="1"/>
    <row r="687" ht="23.25" customHeight="1"/>
    <row r="688" ht="23.25" customHeight="1"/>
    <row r="689" ht="23.25" customHeight="1"/>
    <row r="690" ht="23.25" customHeight="1"/>
    <row r="691" ht="23.25" customHeight="1"/>
    <row r="692" ht="23.25" customHeight="1"/>
    <row r="693" ht="23.25" customHeight="1"/>
    <row r="694" ht="23.25" customHeight="1"/>
    <row r="695" ht="23.25" customHeight="1"/>
    <row r="696" ht="23.25" customHeight="1"/>
    <row r="697" ht="23.25" customHeight="1"/>
    <row r="698" ht="23.25" customHeight="1"/>
    <row r="699" ht="23.25" customHeight="1"/>
    <row r="700" ht="23.25" customHeight="1"/>
    <row r="701" ht="23.25" customHeight="1"/>
    <row r="702" ht="23.25" customHeight="1"/>
    <row r="703" ht="23.25" customHeight="1"/>
    <row r="704" ht="23.25" customHeight="1"/>
    <row r="705" ht="23.25" customHeight="1"/>
    <row r="706" ht="23.25" customHeight="1"/>
    <row r="707" ht="23.25" customHeight="1"/>
    <row r="708" ht="23.25" customHeight="1"/>
    <row r="709" ht="23.25" customHeight="1"/>
    <row r="710" ht="23.25" customHeight="1"/>
    <row r="711" ht="23.25" customHeight="1"/>
    <row r="712" ht="23.25" customHeight="1"/>
    <row r="713" ht="23.25" customHeight="1"/>
    <row r="714" ht="23.25" customHeight="1"/>
    <row r="715" ht="23.25" customHeight="1"/>
    <row r="716" ht="23.25" customHeight="1"/>
    <row r="717" ht="23.25" customHeight="1"/>
    <row r="718" ht="23.25" customHeight="1"/>
    <row r="719" ht="23.25" customHeight="1"/>
    <row r="720" ht="23.25" customHeight="1"/>
    <row r="721" ht="23.25" customHeight="1"/>
    <row r="722" ht="23.25" customHeight="1"/>
    <row r="723" ht="23.25" customHeight="1"/>
    <row r="724" ht="23.25" customHeight="1"/>
    <row r="725" ht="23.25" customHeight="1"/>
    <row r="726" ht="23.25" customHeight="1"/>
    <row r="727" ht="23.25" customHeight="1"/>
    <row r="728" ht="23.25" customHeight="1"/>
    <row r="729" ht="23.25" customHeight="1"/>
    <row r="730" ht="23.25" customHeight="1"/>
    <row r="731" ht="23.25" customHeight="1"/>
    <row r="732" ht="23.25" customHeight="1"/>
    <row r="733" ht="23.25" customHeight="1"/>
    <row r="734" ht="23.25" customHeight="1"/>
    <row r="735" ht="23.25" customHeight="1"/>
    <row r="736" ht="23.25" customHeight="1"/>
    <row r="737" ht="23.25" customHeight="1"/>
    <row r="738" ht="23.25" customHeight="1"/>
    <row r="739" ht="23.25" customHeight="1"/>
    <row r="740" ht="23.25" customHeight="1"/>
    <row r="741" ht="23.25" customHeight="1"/>
    <row r="742" ht="23.25" customHeight="1"/>
    <row r="743" ht="23.25" customHeight="1"/>
    <row r="744" ht="23.25" customHeight="1"/>
    <row r="745" ht="23.25" customHeight="1"/>
    <row r="746" ht="23.25" customHeight="1"/>
    <row r="747" ht="23.25" customHeight="1"/>
    <row r="748" ht="23.25" customHeight="1"/>
    <row r="749" ht="23.25" customHeight="1"/>
    <row r="750" ht="23.25" customHeight="1"/>
    <row r="751" ht="23.25" customHeight="1"/>
    <row r="752" ht="23.25" customHeight="1"/>
    <row r="753" ht="23.25" customHeight="1"/>
    <row r="754" ht="23.25" customHeight="1"/>
    <row r="755" ht="23.25" customHeight="1"/>
    <row r="756" ht="23.25" customHeight="1"/>
    <row r="757" ht="23.25" customHeight="1"/>
    <row r="758" ht="23.25" customHeight="1"/>
    <row r="759" ht="23.25" customHeight="1"/>
    <row r="760" ht="23.25" customHeight="1"/>
    <row r="761" ht="23.25" customHeight="1"/>
    <row r="762" ht="23.25" customHeight="1"/>
    <row r="763" ht="23.25" customHeight="1"/>
    <row r="764" ht="23.25" customHeight="1"/>
    <row r="765" ht="23.25" customHeight="1"/>
    <row r="766" ht="23.25" customHeight="1"/>
    <row r="767" ht="23.25" customHeight="1"/>
    <row r="768" ht="23.25" customHeight="1"/>
    <row r="769" ht="23.25" customHeight="1"/>
    <row r="770" ht="23.25" customHeight="1"/>
    <row r="771" ht="23.25" customHeight="1"/>
    <row r="772" ht="23.25" customHeight="1"/>
    <row r="773" ht="23.25" customHeight="1"/>
    <row r="774" ht="23.25" customHeight="1"/>
    <row r="775" ht="23.25" customHeight="1"/>
    <row r="776" ht="23.25" customHeight="1"/>
    <row r="777" ht="23.25" customHeight="1"/>
    <row r="778" ht="23.25" customHeight="1"/>
    <row r="779" ht="23.25" customHeight="1"/>
    <row r="780" ht="23.25" customHeight="1"/>
    <row r="781" ht="23.25" customHeight="1"/>
    <row r="782" ht="23.25" customHeight="1"/>
    <row r="783" ht="23.25" customHeight="1"/>
    <row r="784" ht="23.25" customHeight="1"/>
    <row r="785" ht="23.25" customHeight="1"/>
    <row r="786" ht="23.25" customHeight="1"/>
    <row r="787" ht="23.25" customHeight="1"/>
    <row r="788" ht="23.25" customHeight="1"/>
    <row r="789" ht="23.25" customHeight="1"/>
    <row r="790" ht="23.25" customHeight="1"/>
    <row r="791" ht="23.25" customHeight="1"/>
    <row r="792" ht="23.25" customHeight="1"/>
    <row r="793" ht="23.25" customHeight="1"/>
    <row r="794" ht="23.25" customHeight="1"/>
    <row r="795" ht="23.25" customHeight="1"/>
    <row r="796" ht="23.25" customHeight="1"/>
    <row r="797" ht="23.25" customHeight="1"/>
    <row r="798" ht="23.25" customHeight="1"/>
    <row r="799" ht="23.25" customHeight="1"/>
    <row r="800" ht="23.25" customHeight="1"/>
    <row r="801" ht="23.25" customHeight="1"/>
    <row r="802" ht="23.25" customHeight="1"/>
    <row r="803" ht="23.25" customHeight="1"/>
    <row r="804" ht="23.25" customHeight="1"/>
    <row r="805" ht="23.25" customHeight="1"/>
    <row r="806" ht="23.25" customHeight="1"/>
    <row r="807" ht="23.25" customHeight="1"/>
    <row r="808" ht="23.25" customHeight="1"/>
    <row r="809" ht="23.25" customHeight="1"/>
    <row r="810" ht="23.25" customHeight="1"/>
    <row r="811" ht="23.25" customHeight="1"/>
    <row r="812" ht="23.25" customHeight="1"/>
    <row r="813" ht="23.25" customHeight="1"/>
    <row r="814" ht="23.25" customHeight="1"/>
    <row r="815" ht="23.25" customHeight="1"/>
    <row r="816" ht="23.25" customHeight="1"/>
    <row r="817" ht="23.25" customHeight="1"/>
    <row r="818" ht="23.25" customHeight="1"/>
    <row r="819" ht="23.25" customHeight="1"/>
    <row r="820" ht="23.25" customHeight="1"/>
    <row r="821" ht="23.25" customHeight="1"/>
    <row r="822" ht="23.25" customHeight="1"/>
    <row r="823" ht="23.25" customHeight="1"/>
    <row r="824" ht="23.25" customHeight="1"/>
    <row r="825" ht="23.25" customHeight="1"/>
    <row r="826" ht="23.25" customHeight="1"/>
    <row r="827" ht="23.25" customHeight="1"/>
    <row r="828" ht="23.25" customHeight="1"/>
    <row r="829" ht="23.25" customHeight="1"/>
    <row r="830" ht="23.25" customHeight="1"/>
    <row r="831" ht="23.25" customHeight="1"/>
    <row r="832" ht="23.25" customHeight="1"/>
    <row r="833" ht="23.25" customHeight="1"/>
    <row r="834" ht="23.25" customHeight="1"/>
    <row r="835" ht="23.25" customHeight="1"/>
    <row r="836" ht="23.25" customHeight="1"/>
    <row r="837" ht="23.25" customHeight="1"/>
    <row r="838" ht="23.25" customHeight="1"/>
    <row r="839" ht="23.25" customHeight="1"/>
    <row r="840" ht="23.25" customHeight="1"/>
    <row r="841" ht="23.25" customHeight="1"/>
    <row r="842" ht="23.25" customHeight="1"/>
    <row r="843" ht="23.25" customHeight="1"/>
    <row r="844" ht="23.25" customHeight="1"/>
    <row r="845" ht="23.25" customHeight="1"/>
    <row r="846" ht="23.25" customHeight="1"/>
    <row r="847" ht="23.25" customHeight="1"/>
    <row r="848" ht="23.25" customHeight="1"/>
    <row r="849" ht="23.25" customHeight="1"/>
    <row r="850" ht="23.25" customHeight="1"/>
    <row r="851" ht="23.25" customHeight="1"/>
    <row r="852" ht="23.25" customHeight="1"/>
    <row r="853" ht="23.25" customHeight="1"/>
    <row r="854" ht="23.25" customHeight="1"/>
    <row r="855" ht="23.25" customHeight="1"/>
    <row r="856" ht="23.25" customHeight="1"/>
    <row r="857" ht="23.25" customHeight="1"/>
    <row r="858" ht="23.25" customHeight="1"/>
    <row r="859" ht="23.25" customHeight="1"/>
    <row r="860" ht="23.25" customHeight="1"/>
    <row r="861" ht="23.25" customHeight="1"/>
    <row r="862" ht="23.25" customHeight="1"/>
    <row r="863" ht="23.25" customHeight="1"/>
    <row r="864" ht="23.25" customHeight="1"/>
    <row r="865" ht="23.25" customHeight="1"/>
    <row r="866" ht="23.25" customHeight="1"/>
    <row r="867" ht="23.25" customHeight="1"/>
    <row r="868" ht="23.25" customHeight="1"/>
    <row r="869" ht="23.25" customHeight="1"/>
    <row r="870" ht="23.25" customHeight="1"/>
    <row r="871" ht="23.25" customHeight="1"/>
    <row r="872" ht="23.25" customHeight="1"/>
    <row r="873" ht="23.25" customHeight="1"/>
    <row r="874" ht="23.25" customHeight="1"/>
    <row r="875" ht="23.25" customHeight="1"/>
    <row r="876" ht="23.25" customHeight="1"/>
    <row r="877" ht="23.25" customHeight="1"/>
    <row r="878" ht="23.25" customHeight="1"/>
    <row r="879" ht="23.25" customHeight="1"/>
    <row r="880" ht="23.25" customHeight="1"/>
    <row r="881" ht="23.25" customHeight="1"/>
    <row r="882" ht="23.25" customHeight="1"/>
    <row r="883" ht="23.25" customHeight="1"/>
    <row r="884" ht="23.25" customHeight="1"/>
    <row r="885" ht="23.25" customHeight="1"/>
    <row r="886" ht="23.25" customHeight="1"/>
    <row r="887" ht="23.25" customHeight="1"/>
    <row r="888" ht="23.25" customHeight="1"/>
    <row r="889" ht="23.25" customHeight="1"/>
    <row r="890" ht="23.25" customHeight="1"/>
    <row r="891" ht="23.25" customHeight="1"/>
    <row r="892" ht="23.25" customHeight="1"/>
    <row r="893" ht="23.25" customHeight="1"/>
    <row r="894" ht="23.25" customHeight="1"/>
    <row r="895" ht="23.25" customHeight="1"/>
    <row r="896" ht="23.25" customHeight="1"/>
    <row r="897" ht="23.25" customHeight="1"/>
    <row r="898" ht="23.25" customHeight="1"/>
    <row r="899" ht="23.25" customHeight="1"/>
    <row r="900" ht="23.25" customHeight="1"/>
    <row r="901" ht="23.25" customHeight="1"/>
    <row r="902" ht="23.25" customHeight="1"/>
    <row r="903" ht="23.25" customHeight="1"/>
    <row r="904" ht="23.25" customHeight="1"/>
    <row r="905" ht="23.25" customHeight="1"/>
    <row r="906" ht="23.25" customHeight="1"/>
    <row r="907" ht="23.25" customHeight="1"/>
    <row r="908" ht="23.25" customHeight="1"/>
    <row r="909" ht="23.25" customHeight="1"/>
    <row r="910" ht="23.25" customHeight="1"/>
    <row r="911" ht="23.25" customHeight="1"/>
    <row r="912" ht="23.25" customHeight="1"/>
    <row r="913" ht="23.25" customHeight="1"/>
    <row r="914" ht="23.25" customHeight="1"/>
    <row r="915" ht="23.25" customHeight="1"/>
    <row r="916" ht="23.25" customHeight="1"/>
    <row r="917" ht="23.25" customHeight="1"/>
    <row r="918" ht="23.25" customHeight="1"/>
    <row r="919" ht="23.25" customHeight="1"/>
    <row r="920" ht="23.25" customHeight="1"/>
    <row r="921" ht="23.25" customHeight="1"/>
    <row r="922" ht="23.25" customHeight="1"/>
    <row r="923" ht="23.25" customHeight="1"/>
    <row r="924" ht="23.25" customHeight="1"/>
    <row r="925" ht="23.25" customHeight="1"/>
    <row r="926" ht="23.25" customHeight="1"/>
    <row r="927" ht="23.25" customHeight="1"/>
    <row r="928" ht="23.25" customHeight="1"/>
    <row r="929" ht="23.25" customHeight="1"/>
    <row r="930" ht="23.25" customHeight="1"/>
    <row r="931" ht="23.25" customHeight="1"/>
    <row r="932" ht="23.25" customHeight="1"/>
    <row r="933" ht="23.25" customHeight="1"/>
    <row r="934" ht="23.25" customHeight="1"/>
    <row r="935" ht="23.25" customHeight="1"/>
    <row r="936" ht="23.25" customHeight="1"/>
    <row r="937" ht="23.25" customHeight="1"/>
    <row r="938" ht="23.25" customHeight="1"/>
    <row r="939" ht="23.25" customHeight="1"/>
    <row r="940" ht="23.25" customHeight="1"/>
    <row r="941" ht="23.25" customHeight="1"/>
    <row r="942" ht="23.25" customHeight="1"/>
    <row r="943" ht="23.25" customHeight="1"/>
    <row r="944" ht="23.25" customHeight="1"/>
    <row r="945" ht="23.25" customHeight="1"/>
    <row r="946" ht="23.25" customHeight="1"/>
    <row r="947" ht="23.25" customHeight="1"/>
    <row r="948" ht="23.25" customHeight="1"/>
    <row r="949" ht="23.25" customHeight="1"/>
    <row r="950" ht="23.25" customHeight="1"/>
    <row r="951" ht="23.25" customHeight="1"/>
    <row r="952" ht="23.25" customHeight="1"/>
    <row r="953" ht="23.25" customHeight="1"/>
    <row r="954" ht="23.25" customHeight="1"/>
    <row r="955" ht="23.25" customHeight="1"/>
    <row r="956" ht="23.25" customHeight="1"/>
    <row r="957" ht="23.25" customHeight="1"/>
    <row r="958" ht="23.25" customHeight="1"/>
    <row r="959" ht="23.25" customHeight="1"/>
    <row r="960" ht="23.25" customHeight="1"/>
    <row r="961" ht="23.25" customHeight="1"/>
    <row r="962" ht="23.25" customHeight="1"/>
    <row r="963" ht="23.25" customHeight="1"/>
    <row r="964" ht="23.25" customHeight="1"/>
    <row r="965" ht="23.25" customHeight="1"/>
    <row r="966" ht="23.25" customHeight="1"/>
    <row r="967" ht="23.25" customHeight="1"/>
    <row r="968" ht="23.25" customHeight="1"/>
    <row r="969" ht="23.25" customHeight="1"/>
    <row r="970" ht="23.25" customHeight="1"/>
    <row r="971" ht="23.25" customHeight="1"/>
    <row r="972" ht="23.25" customHeight="1"/>
    <row r="973" ht="23.25" customHeight="1"/>
    <row r="974" ht="23.25" customHeight="1"/>
    <row r="975" ht="23.25" customHeight="1"/>
    <row r="976" ht="23.25" customHeight="1"/>
    <row r="977" ht="23.25" customHeight="1"/>
    <row r="978" ht="23.25" customHeight="1"/>
    <row r="979" ht="23.25" customHeight="1"/>
    <row r="980" ht="23.25" customHeight="1"/>
    <row r="981" ht="23.25" customHeight="1"/>
    <row r="982" ht="23.25" customHeight="1"/>
    <row r="983" ht="23.25" customHeight="1"/>
    <row r="984" ht="23.25" customHeight="1"/>
    <row r="985" ht="23.25" customHeight="1"/>
    <row r="986" ht="23.25" customHeight="1"/>
    <row r="987" ht="23.25" customHeight="1"/>
    <row r="988" ht="23.25" customHeight="1"/>
    <row r="989" ht="23.25" customHeight="1"/>
    <row r="990" ht="23.25" customHeight="1"/>
    <row r="991" ht="23.25" customHeight="1"/>
    <row r="992" ht="23.25" customHeight="1"/>
    <row r="993" ht="23.25" customHeight="1"/>
    <row r="994" ht="23.25" customHeight="1"/>
    <row r="995" ht="23.25" customHeight="1"/>
    <row r="996" ht="23.25" customHeight="1"/>
    <row r="997" ht="23.25" customHeight="1"/>
    <row r="998" ht="23.25" customHeight="1"/>
    <row r="999" ht="23.25" customHeight="1"/>
    <row r="1000" ht="23.25" customHeight="1"/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9.75"/>
    <col customWidth="1" min="2" max="2" width="24.0"/>
    <col customWidth="1" min="3" max="3" width="31.63"/>
    <col customWidth="1" min="4" max="4" width="20.0"/>
    <col customWidth="1" min="5" max="5" width="24.0"/>
    <col customWidth="1" min="6" max="6" width="18.0"/>
    <col customWidth="1" min="7" max="7" width="22.38"/>
    <col customWidth="1" min="8" max="8" width="24.0"/>
    <col customWidth="1" min="9" max="9" width="22.5"/>
    <col customWidth="1" min="10" max="10" width="25.88"/>
    <col customWidth="1" min="11" max="11" width="24.63"/>
    <col customWidth="1" min="12" max="12" width="28.13"/>
    <col customWidth="1" min="13" max="13" width="26.0"/>
    <col customWidth="1" min="14" max="26" width="8.63"/>
  </cols>
  <sheetData>
    <row r="1" ht="22.5" customHeight="1">
      <c r="A1" s="6" t="s">
        <v>749</v>
      </c>
      <c r="B1" s="6" t="s">
        <v>758</v>
      </c>
      <c r="C1" s="6" t="s">
        <v>2</v>
      </c>
      <c r="D1" s="6" t="s">
        <v>761</v>
      </c>
      <c r="E1" s="6" t="s">
        <v>762</v>
      </c>
      <c r="F1" s="6" t="s">
        <v>763</v>
      </c>
      <c r="G1" s="6" t="s">
        <v>766</v>
      </c>
      <c r="H1" s="6" t="s">
        <v>767</v>
      </c>
      <c r="I1" s="6" t="s">
        <v>770</v>
      </c>
      <c r="J1" s="6" t="s">
        <v>771</v>
      </c>
      <c r="K1" s="6" t="s">
        <v>775</v>
      </c>
      <c r="L1" s="6" t="s">
        <v>776</v>
      </c>
      <c r="M1" s="6" t="s">
        <v>777</v>
      </c>
    </row>
    <row r="2" ht="22.5" customHeight="1">
      <c r="A2" s="12" t="s">
        <v>21</v>
      </c>
      <c r="B2" s="12" t="s">
        <v>22</v>
      </c>
      <c r="C2" s="13" t="s">
        <v>23</v>
      </c>
      <c r="D2" s="12" t="s">
        <v>24</v>
      </c>
      <c r="E2" s="12" t="s">
        <v>25</v>
      </c>
      <c r="F2" s="12" t="s">
        <v>26</v>
      </c>
      <c r="G2" s="12" t="s">
        <v>27</v>
      </c>
      <c r="H2" s="12" t="s">
        <v>28</v>
      </c>
      <c r="I2" s="12" t="s">
        <v>29</v>
      </c>
      <c r="J2" s="16"/>
      <c r="K2" s="17">
        <v>46111.0</v>
      </c>
      <c r="L2" s="17">
        <v>46153.0</v>
      </c>
      <c r="M2" s="8" t="s">
        <v>30</v>
      </c>
    </row>
    <row r="3" ht="22.5" customHeight="1">
      <c r="A3" s="12" t="s">
        <v>253</v>
      </c>
      <c r="B3" s="12" t="s">
        <v>257</v>
      </c>
      <c r="C3" s="13" t="s">
        <v>260</v>
      </c>
      <c r="D3" s="12" t="s">
        <v>271</v>
      </c>
      <c r="E3" s="12" t="s">
        <v>272</v>
      </c>
      <c r="F3" s="12" t="s">
        <v>120</v>
      </c>
      <c r="G3" s="12" t="s">
        <v>57</v>
      </c>
      <c r="H3" s="12" t="s">
        <v>40</v>
      </c>
      <c r="I3" s="12" t="s">
        <v>50</v>
      </c>
      <c r="J3" s="16">
        <v>1200.0</v>
      </c>
      <c r="K3" s="17">
        <v>46263.0</v>
      </c>
      <c r="L3" s="17">
        <v>46304.0</v>
      </c>
      <c r="M3" s="8" t="s">
        <v>95</v>
      </c>
    </row>
    <row r="4" ht="22.5" customHeight="1">
      <c r="A4" s="12" t="s">
        <v>42</v>
      </c>
      <c r="B4" s="12" t="s">
        <v>43</v>
      </c>
      <c r="C4" s="13" t="s">
        <v>44</v>
      </c>
      <c r="D4" s="12" t="s">
        <v>45</v>
      </c>
      <c r="E4" s="12" t="s">
        <v>46</v>
      </c>
      <c r="F4" s="12" t="s">
        <v>47</v>
      </c>
      <c r="G4" s="12" t="s">
        <v>48</v>
      </c>
      <c r="H4" s="12" t="s">
        <v>49</v>
      </c>
      <c r="I4" s="12" t="s">
        <v>50</v>
      </c>
      <c r="J4" s="16">
        <v>500.0</v>
      </c>
      <c r="K4" s="17">
        <v>46101.0</v>
      </c>
      <c r="L4" s="17"/>
    </row>
    <row r="5" ht="22.5" customHeight="1">
      <c r="A5" s="12" t="s">
        <v>51</v>
      </c>
      <c r="B5" s="12" t="s">
        <v>52</v>
      </c>
      <c r="C5" s="13" t="s">
        <v>53</v>
      </c>
      <c r="D5" s="12" t="s">
        <v>54</v>
      </c>
      <c r="E5" s="12" t="s">
        <v>55</v>
      </c>
      <c r="F5" s="12" t="s">
        <v>56</v>
      </c>
      <c r="G5" s="12" t="s">
        <v>57</v>
      </c>
      <c r="H5" s="12" t="s">
        <v>49</v>
      </c>
      <c r="I5" s="12" t="s">
        <v>58</v>
      </c>
      <c r="J5" s="16">
        <v>1500.0</v>
      </c>
      <c r="K5" s="17">
        <v>46215.0</v>
      </c>
      <c r="L5" s="17">
        <v>46244.0</v>
      </c>
      <c r="M5" s="8" t="s">
        <v>30</v>
      </c>
    </row>
    <row r="6" ht="22.5" customHeight="1">
      <c r="A6" s="12" t="s">
        <v>59</v>
      </c>
      <c r="B6" s="12" t="s">
        <v>60</v>
      </c>
      <c r="C6" s="13" t="s">
        <v>61</v>
      </c>
      <c r="D6" s="12" t="s">
        <v>62</v>
      </c>
      <c r="E6" s="12" t="s">
        <v>63</v>
      </c>
      <c r="F6" s="12" t="s">
        <v>64</v>
      </c>
      <c r="G6" s="12" t="s">
        <v>48</v>
      </c>
      <c r="H6" s="12" t="s">
        <v>49</v>
      </c>
      <c r="I6" s="12" t="s">
        <v>65</v>
      </c>
      <c r="J6" s="16">
        <v>350.0</v>
      </c>
      <c r="K6" s="17">
        <v>46174.0</v>
      </c>
      <c r="L6" s="17">
        <v>46191.0</v>
      </c>
      <c r="M6" s="8" t="s">
        <v>66</v>
      </c>
    </row>
    <row r="7" ht="22.5" customHeight="1">
      <c r="A7" s="12" t="s">
        <v>961</v>
      </c>
      <c r="B7" s="12" t="s">
        <v>177</v>
      </c>
      <c r="C7" s="13" t="s">
        <v>963</v>
      </c>
      <c r="D7" s="12" t="s">
        <v>971</v>
      </c>
      <c r="E7" s="12" t="s">
        <v>974</v>
      </c>
      <c r="F7" s="12" t="s">
        <v>205</v>
      </c>
      <c r="G7" s="12" t="s">
        <v>133</v>
      </c>
      <c r="H7" s="12" t="s">
        <v>49</v>
      </c>
      <c r="I7" s="12" t="s">
        <v>65</v>
      </c>
      <c r="J7" s="16">
        <v>500.0</v>
      </c>
      <c r="K7" s="17">
        <v>46245.0</v>
      </c>
      <c r="L7" s="17">
        <v>46255.0</v>
      </c>
      <c r="M7" s="8" t="s">
        <v>30</v>
      </c>
    </row>
    <row r="8" ht="22.5" customHeight="1">
      <c r="A8" s="12" t="s">
        <v>70</v>
      </c>
      <c r="B8" s="12" t="s">
        <v>71</v>
      </c>
      <c r="C8" s="13" t="s">
        <v>72</v>
      </c>
      <c r="D8" s="12" t="s">
        <v>73</v>
      </c>
      <c r="E8" s="12" t="s">
        <v>74</v>
      </c>
      <c r="F8" s="12" t="s">
        <v>75</v>
      </c>
      <c r="G8" s="12" t="s">
        <v>39</v>
      </c>
      <c r="H8" s="12" t="s">
        <v>76</v>
      </c>
      <c r="I8" s="12" t="s">
        <v>77</v>
      </c>
      <c r="J8" s="16">
        <v>500.0</v>
      </c>
      <c r="K8" s="17">
        <v>46052.0</v>
      </c>
      <c r="L8" s="17">
        <v>46087.0</v>
      </c>
      <c r="M8" s="8" t="s">
        <v>41</v>
      </c>
    </row>
    <row r="9" ht="22.5" customHeight="1">
      <c r="A9" s="12" t="s">
        <v>587</v>
      </c>
      <c r="B9" s="12" t="s">
        <v>588</v>
      </c>
      <c r="C9" s="13" t="s">
        <v>589</v>
      </c>
      <c r="D9" s="12" t="s">
        <v>590</v>
      </c>
      <c r="E9" s="12" t="s">
        <v>591</v>
      </c>
      <c r="F9" s="12" t="s">
        <v>47</v>
      </c>
      <c r="G9" s="12" t="s">
        <v>57</v>
      </c>
      <c r="H9" s="12" t="s">
        <v>28</v>
      </c>
      <c r="I9" s="12" t="s">
        <v>29</v>
      </c>
      <c r="J9" s="16">
        <v>1200.0</v>
      </c>
      <c r="K9" s="17">
        <v>46232.0</v>
      </c>
      <c r="L9" s="17">
        <v>46254.0</v>
      </c>
    </row>
    <row r="10" ht="22.5" customHeight="1">
      <c r="A10" s="12" t="s">
        <v>83</v>
      </c>
      <c r="B10" s="12" t="s">
        <v>84</v>
      </c>
      <c r="C10" s="13" t="s">
        <v>85</v>
      </c>
      <c r="D10" s="12" t="s">
        <v>86</v>
      </c>
      <c r="E10" s="12" t="s">
        <v>87</v>
      </c>
      <c r="F10" s="12" t="s">
        <v>88</v>
      </c>
      <c r="G10" s="12" t="s">
        <v>27</v>
      </c>
      <c r="H10" s="12" t="s">
        <v>28</v>
      </c>
      <c r="I10" s="12" t="s">
        <v>29</v>
      </c>
      <c r="J10" s="16">
        <v>1500.0</v>
      </c>
      <c r="K10" s="17">
        <v>46095.0</v>
      </c>
      <c r="L10" s="17">
        <v>46129.0</v>
      </c>
      <c r="M10" s="8" t="s">
        <v>41</v>
      </c>
    </row>
    <row r="11" ht="22.5" customHeight="1">
      <c r="A11" s="12" t="s">
        <v>90</v>
      </c>
      <c r="B11" s="12" t="s">
        <v>91</v>
      </c>
      <c r="C11" s="13" t="s">
        <v>92</v>
      </c>
      <c r="D11" s="12" t="s">
        <v>93</v>
      </c>
      <c r="E11" s="12" t="s">
        <v>94</v>
      </c>
      <c r="F11" s="12" t="s">
        <v>56</v>
      </c>
      <c r="G11" s="12" t="s">
        <v>57</v>
      </c>
      <c r="H11" s="12" t="s">
        <v>76</v>
      </c>
      <c r="I11" s="12" t="s">
        <v>77</v>
      </c>
      <c r="J11" s="16">
        <v>350.0</v>
      </c>
      <c r="K11" s="17">
        <v>46180.0</v>
      </c>
      <c r="L11" s="17">
        <v>46181.0</v>
      </c>
      <c r="M11" s="8" t="s">
        <v>95</v>
      </c>
    </row>
    <row r="12" ht="22.5" customHeight="1">
      <c r="A12" s="12" t="s">
        <v>96</v>
      </c>
      <c r="B12" s="12" t="s">
        <v>97</v>
      </c>
      <c r="C12" s="13" t="s">
        <v>98</v>
      </c>
      <c r="D12" s="12" t="s">
        <v>99</v>
      </c>
      <c r="E12" s="12" t="s">
        <v>100</v>
      </c>
      <c r="F12" s="12" t="s">
        <v>82</v>
      </c>
      <c r="G12" s="12" t="s">
        <v>57</v>
      </c>
      <c r="H12" s="12" t="s">
        <v>40</v>
      </c>
      <c r="I12" s="12" t="s">
        <v>77</v>
      </c>
      <c r="J12" s="16">
        <v>1200.0</v>
      </c>
      <c r="K12" s="17">
        <v>46160.0</v>
      </c>
      <c r="L12" s="17"/>
      <c r="M12" s="8" t="s">
        <v>66</v>
      </c>
    </row>
    <row r="13" ht="22.5" customHeight="1">
      <c r="A13" s="12" t="s">
        <v>101</v>
      </c>
      <c r="B13" s="12" t="s">
        <v>102</v>
      </c>
      <c r="C13" s="13" t="s">
        <v>103</v>
      </c>
      <c r="D13" s="12" t="s">
        <v>104</v>
      </c>
      <c r="E13" s="12" t="s">
        <v>105</v>
      </c>
      <c r="F13" s="12" t="s">
        <v>56</v>
      </c>
      <c r="G13" s="12" t="s">
        <v>106</v>
      </c>
      <c r="H13" s="12" t="s">
        <v>28</v>
      </c>
      <c r="I13" s="12" t="s">
        <v>58</v>
      </c>
      <c r="J13" s="16">
        <v>900.0</v>
      </c>
      <c r="K13" s="17">
        <v>46179.0</v>
      </c>
      <c r="L13" s="17">
        <v>46199.0</v>
      </c>
      <c r="M13" s="8" t="s">
        <v>107</v>
      </c>
    </row>
    <row r="14" ht="22.5" customHeight="1">
      <c r="A14" s="12" t="s">
        <v>108</v>
      </c>
      <c r="B14" s="12" t="s">
        <v>109</v>
      </c>
      <c r="C14" s="13" t="s">
        <v>110</v>
      </c>
      <c r="D14" s="12" t="s">
        <v>111</v>
      </c>
      <c r="E14" s="12" t="s">
        <v>112</v>
      </c>
      <c r="F14" s="12" t="s">
        <v>56</v>
      </c>
      <c r="G14" s="12" t="s">
        <v>106</v>
      </c>
      <c r="H14" s="12" t="s">
        <v>76</v>
      </c>
      <c r="I14" s="12" t="s">
        <v>65</v>
      </c>
      <c r="J14" s="16">
        <v>350.0</v>
      </c>
      <c r="K14" s="17">
        <v>46051.0</v>
      </c>
      <c r="L14" s="17">
        <v>46051.0</v>
      </c>
      <c r="M14" s="8" t="s">
        <v>107</v>
      </c>
    </row>
    <row r="15" ht="22.5" customHeight="1">
      <c r="A15" s="12" t="s">
        <v>79</v>
      </c>
      <c r="B15" s="12" t="s">
        <v>80</v>
      </c>
      <c r="C15" s="13" t="s">
        <v>81</v>
      </c>
      <c r="D15" s="12"/>
      <c r="E15" s="12"/>
      <c r="F15" s="12" t="s">
        <v>82</v>
      </c>
      <c r="G15" s="12" t="s">
        <v>57</v>
      </c>
      <c r="H15" s="12" t="s">
        <v>40</v>
      </c>
      <c r="I15" s="12" t="s">
        <v>77</v>
      </c>
      <c r="J15" s="16">
        <v>1500.0</v>
      </c>
      <c r="K15" s="17">
        <v>46030.0</v>
      </c>
      <c r="L15" s="17">
        <v>46043.0</v>
      </c>
      <c r="M15" s="8" t="s">
        <v>30</v>
      </c>
    </row>
    <row r="16" ht="22.5" customHeight="1">
      <c r="A16" s="12" t="s">
        <v>115</v>
      </c>
      <c r="B16" s="12" t="s">
        <v>116</v>
      </c>
      <c r="C16" s="13" t="s">
        <v>117</v>
      </c>
      <c r="D16" s="12" t="s">
        <v>118</v>
      </c>
      <c r="E16" s="12" t="s">
        <v>119</v>
      </c>
      <c r="F16" s="12" t="s">
        <v>120</v>
      </c>
      <c r="G16" s="12" t="s">
        <v>57</v>
      </c>
      <c r="H16" s="12" t="s">
        <v>28</v>
      </c>
      <c r="I16" s="12" t="s">
        <v>50</v>
      </c>
      <c r="J16" s="16">
        <v>2500.0</v>
      </c>
      <c r="K16" s="17">
        <v>46070.0</v>
      </c>
      <c r="L16" s="17">
        <v>46081.0</v>
      </c>
      <c r="M16" s="8" t="s">
        <v>41</v>
      </c>
    </row>
    <row r="17" ht="22.5" customHeight="1">
      <c r="A17" s="12" t="s">
        <v>121</v>
      </c>
      <c r="B17" s="12" t="s">
        <v>122</v>
      </c>
      <c r="C17" s="13" t="s">
        <v>123</v>
      </c>
      <c r="D17" s="12" t="s">
        <v>124</v>
      </c>
      <c r="E17" s="12" t="s">
        <v>125</v>
      </c>
      <c r="F17" s="12" t="s">
        <v>126</v>
      </c>
      <c r="G17" s="12" t="s">
        <v>27</v>
      </c>
      <c r="H17" s="12" t="s">
        <v>28</v>
      </c>
      <c r="I17" s="12" t="s">
        <v>58</v>
      </c>
      <c r="J17" s="16">
        <v>350.0</v>
      </c>
      <c r="K17" s="17">
        <v>46137.0</v>
      </c>
      <c r="L17" s="17">
        <v>46175.0</v>
      </c>
      <c r="M17" s="8" t="s">
        <v>30</v>
      </c>
    </row>
    <row r="18" ht="22.5" customHeight="1">
      <c r="A18" s="12" t="s">
        <v>127</v>
      </c>
      <c r="B18" s="12" t="s">
        <v>128</v>
      </c>
      <c r="C18" s="13" t="s">
        <v>129</v>
      </c>
      <c r="D18" s="12" t="s">
        <v>130</v>
      </c>
      <c r="E18" s="12" t="s">
        <v>131</v>
      </c>
      <c r="F18" s="12" t="s">
        <v>132</v>
      </c>
      <c r="G18" s="12" t="s">
        <v>133</v>
      </c>
      <c r="H18" s="12" t="s">
        <v>28</v>
      </c>
      <c r="I18" s="12" t="s">
        <v>134</v>
      </c>
      <c r="J18" s="16">
        <v>2000.0</v>
      </c>
      <c r="K18" s="17">
        <v>46045.0</v>
      </c>
      <c r="L18" s="17">
        <v>46079.0</v>
      </c>
      <c r="M18" s="8" t="s">
        <v>41</v>
      </c>
    </row>
    <row r="19" ht="22.5" customHeight="1">
      <c r="A19" s="12" t="s">
        <v>135</v>
      </c>
      <c r="B19" s="12" t="s">
        <v>136</v>
      </c>
      <c r="C19" s="13" t="s">
        <v>137</v>
      </c>
      <c r="D19" s="12" t="s">
        <v>138</v>
      </c>
      <c r="E19" s="12" t="s">
        <v>139</v>
      </c>
      <c r="F19" s="12" t="s">
        <v>140</v>
      </c>
      <c r="G19" s="12" t="s">
        <v>57</v>
      </c>
      <c r="H19" s="12" t="s">
        <v>28</v>
      </c>
      <c r="I19" s="12" t="s">
        <v>58</v>
      </c>
      <c r="J19" s="16">
        <v>4500.0</v>
      </c>
      <c r="K19" s="17">
        <v>46245.0</v>
      </c>
      <c r="L19" s="17">
        <v>46255.0</v>
      </c>
      <c r="M19" s="8" t="s">
        <v>107</v>
      </c>
    </row>
    <row r="20" ht="22.5" customHeight="1">
      <c r="A20" s="12" t="s">
        <v>141</v>
      </c>
      <c r="B20" s="12" t="s">
        <v>142</v>
      </c>
      <c r="C20" s="13" t="s">
        <v>143</v>
      </c>
      <c r="D20" s="12" t="s">
        <v>144</v>
      </c>
      <c r="E20" s="12" t="s">
        <v>145</v>
      </c>
      <c r="F20" s="12" t="s">
        <v>126</v>
      </c>
      <c r="G20" s="12" t="s">
        <v>48</v>
      </c>
      <c r="H20" s="12" t="s">
        <v>76</v>
      </c>
      <c r="I20" s="12" t="s">
        <v>50</v>
      </c>
      <c r="J20" s="16">
        <v>3000.0</v>
      </c>
      <c r="K20" s="17">
        <v>46037.0</v>
      </c>
      <c r="L20" s="17">
        <v>46053.0</v>
      </c>
      <c r="M20" s="8" t="s">
        <v>95</v>
      </c>
    </row>
    <row r="21" ht="15.75" customHeight="1">
      <c r="A21" s="12" t="s">
        <v>146</v>
      </c>
      <c r="B21" s="12" t="s">
        <v>147</v>
      </c>
      <c r="C21" s="13" t="s">
        <v>148</v>
      </c>
      <c r="D21" s="12" t="s">
        <v>149</v>
      </c>
      <c r="E21" s="12" t="s">
        <v>150</v>
      </c>
      <c r="F21" s="12" t="s">
        <v>151</v>
      </c>
      <c r="G21" s="12" t="s">
        <v>48</v>
      </c>
      <c r="H21" s="12" t="s">
        <v>28</v>
      </c>
      <c r="I21" s="12" t="s">
        <v>29</v>
      </c>
      <c r="J21" s="16">
        <v>1200.0</v>
      </c>
      <c r="K21" s="17">
        <v>46231.0</v>
      </c>
      <c r="L21" s="17">
        <v>46231.0</v>
      </c>
    </row>
    <row r="22" ht="15.75" customHeight="1">
      <c r="A22" s="12" t="s">
        <v>152</v>
      </c>
      <c r="B22" s="12" t="s">
        <v>153</v>
      </c>
      <c r="C22" s="13" t="s">
        <v>154</v>
      </c>
      <c r="D22" s="12" t="s">
        <v>155</v>
      </c>
      <c r="E22" s="12" t="s">
        <v>156</v>
      </c>
      <c r="F22" s="12" t="s">
        <v>47</v>
      </c>
      <c r="G22" s="12" t="s">
        <v>39</v>
      </c>
      <c r="H22" s="12" t="s">
        <v>76</v>
      </c>
      <c r="I22" s="12" t="s">
        <v>50</v>
      </c>
      <c r="J22" s="16">
        <v>500.0</v>
      </c>
      <c r="K22" s="17">
        <v>46232.0</v>
      </c>
      <c r="L22" s="17">
        <v>46263.0</v>
      </c>
      <c r="M22" s="8" t="s">
        <v>95</v>
      </c>
    </row>
    <row r="23" ht="15.75" customHeight="1">
      <c r="A23" s="12" t="s">
        <v>1001</v>
      </c>
      <c r="B23" s="12" t="s">
        <v>568</v>
      </c>
      <c r="C23" s="13" t="s">
        <v>1002</v>
      </c>
      <c r="D23" s="12" t="s">
        <v>1003</v>
      </c>
      <c r="E23" s="12" t="s">
        <v>173</v>
      </c>
      <c r="F23" s="12" t="s">
        <v>168</v>
      </c>
      <c r="G23" s="12" t="s">
        <v>133</v>
      </c>
      <c r="H23" s="12" t="s">
        <v>28</v>
      </c>
      <c r="I23" s="12" t="s">
        <v>65</v>
      </c>
      <c r="J23" s="16">
        <v>2500.0</v>
      </c>
      <c r="K23" s="17">
        <v>46209.0</v>
      </c>
      <c r="L23" s="17">
        <v>46233.0</v>
      </c>
    </row>
    <row r="24" ht="15.75" customHeight="1">
      <c r="A24" s="12" t="s">
        <v>163</v>
      </c>
      <c r="B24" s="12" t="s">
        <v>164</v>
      </c>
      <c r="C24" s="13" t="s">
        <v>165</v>
      </c>
      <c r="D24" s="12" t="s">
        <v>166</v>
      </c>
      <c r="E24" s="12" t="s">
        <v>167</v>
      </c>
      <c r="F24" s="12" t="s">
        <v>168</v>
      </c>
      <c r="G24" s="12" t="s">
        <v>27</v>
      </c>
      <c r="H24" s="12" t="s">
        <v>49</v>
      </c>
      <c r="I24" s="12" t="s">
        <v>29</v>
      </c>
      <c r="J24" s="16">
        <v>750.0</v>
      </c>
      <c r="K24" s="17">
        <v>46149.0</v>
      </c>
      <c r="L24" s="17">
        <v>46157.0</v>
      </c>
      <c r="M24" s="8" t="s">
        <v>66</v>
      </c>
    </row>
    <row r="25" ht="15.75" customHeight="1">
      <c r="A25" s="12" t="s">
        <v>169</v>
      </c>
      <c r="B25" s="12" t="s">
        <v>170</v>
      </c>
      <c r="C25" s="13" t="s">
        <v>171</v>
      </c>
      <c r="D25" s="12" t="s">
        <v>172</v>
      </c>
      <c r="E25" s="12" t="s">
        <v>173</v>
      </c>
      <c r="F25" s="12" t="s">
        <v>174</v>
      </c>
      <c r="G25" s="12" t="s">
        <v>57</v>
      </c>
      <c r="H25" s="12" t="s">
        <v>76</v>
      </c>
      <c r="I25" s="12" t="s">
        <v>65</v>
      </c>
      <c r="J25" s="16">
        <v>2500.0</v>
      </c>
      <c r="K25" s="17">
        <v>46033.0</v>
      </c>
      <c r="L25" s="17">
        <v>46069.0</v>
      </c>
      <c r="M25" s="8" t="s">
        <v>66</v>
      </c>
    </row>
    <row r="26" ht="15.75" customHeight="1">
      <c r="A26" s="12" t="s">
        <v>176</v>
      </c>
      <c r="B26" s="12" t="s">
        <v>177</v>
      </c>
      <c r="C26" s="13" t="s">
        <v>178</v>
      </c>
      <c r="D26" s="12"/>
      <c r="E26" s="12" t="s">
        <v>179</v>
      </c>
      <c r="F26" s="12" t="s">
        <v>175</v>
      </c>
      <c r="G26" s="12" t="s">
        <v>48</v>
      </c>
      <c r="H26" s="12" t="s">
        <v>40</v>
      </c>
      <c r="I26" s="12" t="s">
        <v>134</v>
      </c>
      <c r="J26" s="16">
        <v>4500.0</v>
      </c>
      <c r="K26" s="17">
        <v>46032.0</v>
      </c>
      <c r="L26" s="17">
        <v>46068.0</v>
      </c>
    </row>
    <row r="27" ht="15.75" customHeight="1">
      <c r="A27" s="12" t="s">
        <v>180</v>
      </c>
      <c r="B27" s="12" t="s">
        <v>181</v>
      </c>
      <c r="C27" s="13" t="s">
        <v>182</v>
      </c>
      <c r="D27" s="12" t="s">
        <v>183</v>
      </c>
      <c r="E27" s="12" t="s">
        <v>184</v>
      </c>
      <c r="F27" s="12" t="s">
        <v>56</v>
      </c>
      <c r="G27" s="12" t="s">
        <v>27</v>
      </c>
      <c r="H27" s="12" t="s">
        <v>40</v>
      </c>
      <c r="I27" s="12" t="s">
        <v>50</v>
      </c>
      <c r="J27" s="16">
        <v>1500.0</v>
      </c>
      <c r="K27" s="17">
        <v>46253.0</v>
      </c>
      <c r="L27" s="17">
        <v>46286.0</v>
      </c>
      <c r="M27" s="8" t="s">
        <v>41</v>
      </c>
    </row>
    <row r="28" ht="15.75" customHeight="1">
      <c r="A28" s="12" t="s">
        <v>185</v>
      </c>
      <c r="B28" s="12" t="s">
        <v>186</v>
      </c>
      <c r="C28" s="52" t="s">
        <v>187</v>
      </c>
      <c r="D28" s="12"/>
      <c r="E28" s="12" t="s">
        <v>190</v>
      </c>
      <c r="F28" s="12" t="s">
        <v>168</v>
      </c>
      <c r="G28" s="12" t="s">
        <v>39</v>
      </c>
      <c r="H28" s="12" t="s">
        <v>76</v>
      </c>
      <c r="I28" s="12" t="s">
        <v>65</v>
      </c>
      <c r="J28" s="16">
        <v>350.0</v>
      </c>
      <c r="K28" s="17">
        <v>46121.0</v>
      </c>
      <c r="L28" s="17">
        <v>46153.0</v>
      </c>
      <c r="M28" s="8" t="s">
        <v>107</v>
      </c>
    </row>
    <row r="29" ht="15.75" customHeight="1">
      <c r="A29" s="12" t="s">
        <v>191</v>
      </c>
      <c r="B29" s="12" t="s">
        <v>192</v>
      </c>
      <c r="C29" s="13" t="s">
        <v>193</v>
      </c>
      <c r="D29" s="12" t="s">
        <v>194</v>
      </c>
      <c r="E29" s="12" t="s">
        <v>195</v>
      </c>
      <c r="F29" s="12" t="s">
        <v>56</v>
      </c>
      <c r="G29" s="12" t="s">
        <v>57</v>
      </c>
      <c r="H29" s="12" t="s">
        <v>49</v>
      </c>
      <c r="I29" s="12" t="s">
        <v>65</v>
      </c>
      <c r="J29" s="16">
        <v>4500.0</v>
      </c>
      <c r="K29" s="17">
        <v>46206.0</v>
      </c>
      <c r="L29" s="17">
        <v>46206.0</v>
      </c>
      <c r="M29" s="8" t="s">
        <v>66</v>
      </c>
    </row>
    <row r="30" ht="15.75" customHeight="1">
      <c r="A30" s="12" t="s">
        <v>196</v>
      </c>
      <c r="B30" s="12" t="s">
        <v>197</v>
      </c>
      <c r="C30" s="13" t="s">
        <v>198</v>
      </c>
      <c r="D30" s="12" t="s">
        <v>199</v>
      </c>
      <c r="E30" s="12" t="s">
        <v>200</v>
      </c>
      <c r="F30" s="12" t="s">
        <v>201</v>
      </c>
      <c r="G30" s="12" t="s">
        <v>27</v>
      </c>
      <c r="H30" s="12" t="s">
        <v>49</v>
      </c>
      <c r="I30" s="12" t="s">
        <v>134</v>
      </c>
      <c r="J30" s="16">
        <v>3000.0</v>
      </c>
      <c r="K30" s="17">
        <v>46103.0</v>
      </c>
      <c r="L30" s="17">
        <v>46112.0</v>
      </c>
    </row>
    <row r="31" ht="15.75" customHeight="1">
      <c r="A31" s="12" t="s">
        <v>202</v>
      </c>
      <c r="B31" s="12" t="s">
        <v>203</v>
      </c>
      <c r="C31" s="13" t="s">
        <v>204</v>
      </c>
      <c r="D31" s="12"/>
      <c r="E31" s="12"/>
      <c r="F31" s="12" t="s">
        <v>205</v>
      </c>
      <c r="G31" s="12" t="s">
        <v>133</v>
      </c>
      <c r="H31" s="12" t="s">
        <v>76</v>
      </c>
      <c r="I31" s="12" t="s">
        <v>50</v>
      </c>
      <c r="J31" s="16">
        <v>2500.0</v>
      </c>
      <c r="K31" s="17">
        <v>46134.0</v>
      </c>
      <c r="L31" s="17">
        <v>46169.0</v>
      </c>
      <c r="M31" s="8" t="s">
        <v>66</v>
      </c>
    </row>
    <row r="32" ht="15.75" customHeight="1">
      <c r="A32" s="12" t="s">
        <v>206</v>
      </c>
      <c r="B32" s="12" t="s">
        <v>207</v>
      </c>
      <c r="C32" s="13" t="s">
        <v>208</v>
      </c>
      <c r="D32" s="12" t="s">
        <v>209</v>
      </c>
      <c r="E32" s="12" t="s">
        <v>210</v>
      </c>
      <c r="F32" s="12" t="s">
        <v>211</v>
      </c>
      <c r="G32" s="12" t="s">
        <v>133</v>
      </c>
      <c r="H32" s="12" t="s">
        <v>28</v>
      </c>
      <c r="I32" s="12" t="s">
        <v>77</v>
      </c>
      <c r="J32" s="16">
        <v>750.0</v>
      </c>
      <c r="K32" s="17">
        <v>46183.0</v>
      </c>
      <c r="L32" s="17">
        <v>46216.0</v>
      </c>
    </row>
    <row r="33" ht="15.75" customHeight="1">
      <c r="A33" s="12" t="s">
        <v>212</v>
      </c>
      <c r="B33" s="12" t="s">
        <v>213</v>
      </c>
      <c r="C33" s="13" t="s">
        <v>214</v>
      </c>
      <c r="D33" s="12"/>
      <c r="E33" s="12" t="s">
        <v>215</v>
      </c>
      <c r="F33" s="12" t="s">
        <v>216</v>
      </c>
      <c r="G33" s="12" t="s">
        <v>27</v>
      </c>
      <c r="H33" s="12" t="s">
        <v>217</v>
      </c>
      <c r="I33" s="12" t="s">
        <v>50</v>
      </c>
      <c r="J33" s="16"/>
      <c r="K33" s="17">
        <v>46095.0</v>
      </c>
      <c r="L33" s="17">
        <v>46099.0</v>
      </c>
      <c r="M33" s="8" t="s">
        <v>66</v>
      </c>
    </row>
    <row r="34" ht="15.75" customHeight="1">
      <c r="A34" s="12" t="s">
        <v>218</v>
      </c>
      <c r="B34" s="12" t="s">
        <v>219</v>
      </c>
      <c r="C34" s="13" t="s">
        <v>221</v>
      </c>
      <c r="D34" s="12" t="s">
        <v>222</v>
      </c>
      <c r="E34" s="12" t="s">
        <v>223</v>
      </c>
      <c r="F34" s="12" t="s">
        <v>120</v>
      </c>
      <c r="G34" s="12" t="s">
        <v>27</v>
      </c>
      <c r="H34" s="12" t="s">
        <v>217</v>
      </c>
      <c r="I34" s="12" t="s">
        <v>65</v>
      </c>
      <c r="J34" s="16">
        <v>750.0</v>
      </c>
      <c r="K34" s="17">
        <v>46190.0</v>
      </c>
      <c r="L34" s="17">
        <v>46192.0</v>
      </c>
      <c r="M34" s="8" t="s">
        <v>41</v>
      </c>
    </row>
    <row r="35" ht="15.75" customHeight="1">
      <c r="A35" s="12" t="s">
        <v>224</v>
      </c>
      <c r="B35" s="12" t="s">
        <v>225</v>
      </c>
      <c r="C35" s="13" t="s">
        <v>226</v>
      </c>
      <c r="D35" s="12" t="s">
        <v>227</v>
      </c>
      <c r="E35" s="12" t="s">
        <v>228</v>
      </c>
      <c r="F35" s="12" t="s">
        <v>64</v>
      </c>
      <c r="G35" s="12" t="s">
        <v>57</v>
      </c>
      <c r="H35" s="12" t="s">
        <v>49</v>
      </c>
      <c r="I35" s="12" t="s">
        <v>65</v>
      </c>
      <c r="J35" s="16">
        <v>3000.0</v>
      </c>
      <c r="K35" s="17">
        <v>46030.0</v>
      </c>
      <c r="L35" s="17">
        <v>46052.0</v>
      </c>
      <c r="M35" s="8" t="s">
        <v>30</v>
      </c>
    </row>
    <row r="36" ht="15.75" customHeight="1">
      <c r="A36" s="12" t="s">
        <v>229</v>
      </c>
      <c r="B36" s="12" t="s">
        <v>230</v>
      </c>
      <c r="C36" s="13" t="s">
        <v>231</v>
      </c>
      <c r="D36" s="12" t="s">
        <v>232</v>
      </c>
      <c r="E36" s="12" t="s">
        <v>105</v>
      </c>
      <c r="F36" s="12" t="s">
        <v>174</v>
      </c>
      <c r="G36" s="12" t="s">
        <v>39</v>
      </c>
      <c r="H36" s="12" t="s">
        <v>76</v>
      </c>
      <c r="I36" s="12" t="s">
        <v>58</v>
      </c>
      <c r="J36" s="16">
        <v>500.0</v>
      </c>
      <c r="K36" s="17">
        <v>46092.0</v>
      </c>
      <c r="L36" s="17">
        <v>46135.0</v>
      </c>
    </row>
    <row r="37" ht="15.75" customHeight="1">
      <c r="A37" s="12" t="s">
        <v>233</v>
      </c>
      <c r="B37" s="12" t="s">
        <v>234</v>
      </c>
      <c r="C37" s="13" t="s">
        <v>235</v>
      </c>
      <c r="D37" s="12" t="s">
        <v>236</v>
      </c>
      <c r="E37" s="12" t="s">
        <v>237</v>
      </c>
      <c r="F37" s="12" t="s">
        <v>47</v>
      </c>
      <c r="G37" s="12" t="s">
        <v>27</v>
      </c>
      <c r="H37" s="12" t="s">
        <v>217</v>
      </c>
      <c r="I37" s="12" t="s">
        <v>77</v>
      </c>
      <c r="J37" s="16">
        <v>4500.0</v>
      </c>
      <c r="K37" s="17">
        <v>46035.0</v>
      </c>
      <c r="L37" s="17">
        <v>46080.0</v>
      </c>
      <c r="M37" s="8" t="s">
        <v>95</v>
      </c>
    </row>
    <row r="38" ht="15.75" customHeight="1">
      <c r="A38" s="12" t="s">
        <v>238</v>
      </c>
      <c r="B38" s="12" t="s">
        <v>239</v>
      </c>
      <c r="C38" s="13" t="s">
        <v>240</v>
      </c>
      <c r="D38" s="12" t="s">
        <v>241</v>
      </c>
      <c r="E38" s="12" t="s">
        <v>242</v>
      </c>
      <c r="F38" s="12" t="s">
        <v>26</v>
      </c>
      <c r="G38" s="12" t="s">
        <v>48</v>
      </c>
      <c r="H38" s="12" t="s">
        <v>217</v>
      </c>
      <c r="I38" s="12" t="s">
        <v>58</v>
      </c>
      <c r="J38" s="16">
        <v>3000.0</v>
      </c>
      <c r="K38" s="17">
        <v>46134.0</v>
      </c>
      <c r="L38" s="17">
        <v>46154.0</v>
      </c>
      <c r="M38" s="8" t="s">
        <v>41</v>
      </c>
    </row>
    <row r="39" ht="15.75" customHeight="1">
      <c r="A39" s="12" t="s">
        <v>243</v>
      </c>
      <c r="B39" s="12" t="s">
        <v>244</v>
      </c>
      <c r="C39" s="13" t="s">
        <v>245</v>
      </c>
      <c r="D39" s="12" t="s">
        <v>246</v>
      </c>
      <c r="E39" s="12" t="s">
        <v>247</v>
      </c>
      <c r="F39" s="12" t="s">
        <v>248</v>
      </c>
      <c r="G39" s="12" t="s">
        <v>106</v>
      </c>
      <c r="H39" s="12" t="s">
        <v>76</v>
      </c>
      <c r="I39" s="12" t="s">
        <v>77</v>
      </c>
      <c r="J39" s="16">
        <v>350.0</v>
      </c>
      <c r="K39" s="17">
        <v>46153.0</v>
      </c>
      <c r="L39" s="17">
        <v>46161.0</v>
      </c>
      <c r="M39" s="8" t="s">
        <v>107</v>
      </c>
    </row>
    <row r="40" ht="15.75" customHeight="1">
      <c r="A40" s="12" t="s">
        <v>249</v>
      </c>
      <c r="B40" s="12" t="s">
        <v>250</v>
      </c>
      <c r="C40" s="13" t="s">
        <v>251</v>
      </c>
      <c r="D40" s="12" t="s">
        <v>252</v>
      </c>
      <c r="E40" s="12"/>
      <c r="F40" s="12" t="s">
        <v>174</v>
      </c>
      <c r="G40" s="12" t="s">
        <v>39</v>
      </c>
      <c r="H40" s="12" t="s">
        <v>40</v>
      </c>
      <c r="I40" s="12" t="s">
        <v>65</v>
      </c>
      <c r="J40" s="16">
        <v>350.0</v>
      </c>
      <c r="K40" s="17">
        <v>46090.0</v>
      </c>
      <c r="L40" s="17">
        <v>46090.0</v>
      </c>
      <c r="M40" s="8" t="s">
        <v>66</v>
      </c>
    </row>
    <row r="41" ht="15.75" customHeight="1">
      <c r="A41" s="12" t="s">
        <v>254</v>
      </c>
      <c r="B41" s="12" t="s">
        <v>255</v>
      </c>
      <c r="C41" s="13" t="s">
        <v>256</v>
      </c>
      <c r="D41" s="12" t="s">
        <v>258</v>
      </c>
      <c r="E41" s="12" t="s">
        <v>259</v>
      </c>
      <c r="F41" s="12" t="s">
        <v>175</v>
      </c>
      <c r="G41" s="12" t="s">
        <v>57</v>
      </c>
      <c r="H41" s="12" t="s">
        <v>40</v>
      </c>
      <c r="I41" s="12" t="s">
        <v>65</v>
      </c>
      <c r="J41" s="16">
        <v>2000.0</v>
      </c>
      <c r="K41" s="17">
        <v>46068.0</v>
      </c>
      <c r="L41" s="17">
        <v>46107.0</v>
      </c>
      <c r="M41" s="8" t="s">
        <v>95</v>
      </c>
    </row>
    <row r="42" ht="15.75" customHeight="1">
      <c r="A42" s="12" t="s">
        <v>261</v>
      </c>
      <c r="B42" s="12" t="s">
        <v>262</v>
      </c>
      <c r="C42" s="52" t="s">
        <v>263</v>
      </c>
      <c r="D42" s="12" t="s">
        <v>265</v>
      </c>
      <c r="E42" s="12" t="s">
        <v>266</v>
      </c>
      <c r="F42" s="12" t="s">
        <v>151</v>
      </c>
      <c r="G42" s="12" t="s">
        <v>133</v>
      </c>
      <c r="H42" s="12" t="s">
        <v>40</v>
      </c>
      <c r="I42" s="12" t="s">
        <v>77</v>
      </c>
      <c r="J42" s="16">
        <v>350.0</v>
      </c>
      <c r="K42" s="17">
        <v>46116.0</v>
      </c>
      <c r="L42" s="17"/>
      <c r="M42" s="8" t="s">
        <v>95</v>
      </c>
    </row>
    <row r="43" ht="15.75" customHeight="1">
      <c r="A43" s="12" t="s">
        <v>267</v>
      </c>
      <c r="B43" s="12" t="s">
        <v>268</v>
      </c>
      <c r="C43" s="13" t="s">
        <v>269</v>
      </c>
      <c r="D43" s="12" t="s">
        <v>270</v>
      </c>
      <c r="E43" s="12" t="s">
        <v>237</v>
      </c>
      <c r="F43" s="12" t="s">
        <v>162</v>
      </c>
      <c r="G43" s="12" t="s">
        <v>57</v>
      </c>
      <c r="H43" s="12" t="s">
        <v>76</v>
      </c>
      <c r="I43" s="12" t="s">
        <v>134</v>
      </c>
      <c r="J43" s="16">
        <v>4500.0</v>
      </c>
      <c r="K43" s="17">
        <v>46155.0</v>
      </c>
      <c r="L43" s="17">
        <v>46174.0</v>
      </c>
      <c r="M43" s="8" t="s">
        <v>30</v>
      </c>
    </row>
    <row r="44" ht="15.75" customHeight="1">
      <c r="A44" s="12" t="s">
        <v>273</v>
      </c>
      <c r="B44" s="12" t="s">
        <v>274</v>
      </c>
      <c r="C44" s="13" t="s">
        <v>275</v>
      </c>
      <c r="D44" s="12" t="s">
        <v>276</v>
      </c>
      <c r="E44" s="12" t="s">
        <v>277</v>
      </c>
      <c r="F44" s="12" t="s">
        <v>38</v>
      </c>
      <c r="G44" s="12" t="s">
        <v>48</v>
      </c>
      <c r="H44" s="12" t="s">
        <v>76</v>
      </c>
      <c r="I44" s="12" t="s">
        <v>58</v>
      </c>
      <c r="J44" s="16">
        <v>900.0</v>
      </c>
      <c r="K44" s="17">
        <v>46264.0</v>
      </c>
      <c r="L44" s="17">
        <v>46289.0</v>
      </c>
      <c r="M44" s="8" t="s">
        <v>107</v>
      </c>
    </row>
    <row r="45" ht="15.75" customHeight="1">
      <c r="A45" s="12" t="s">
        <v>278</v>
      </c>
      <c r="B45" s="12" t="s">
        <v>279</v>
      </c>
      <c r="C45" s="13" t="s">
        <v>280</v>
      </c>
      <c r="D45" s="12" t="s">
        <v>281</v>
      </c>
      <c r="E45" s="12" t="s">
        <v>282</v>
      </c>
      <c r="F45" s="12" t="s">
        <v>283</v>
      </c>
      <c r="G45" s="12" t="s">
        <v>106</v>
      </c>
      <c r="H45" s="12" t="s">
        <v>76</v>
      </c>
      <c r="I45" s="12" t="s">
        <v>29</v>
      </c>
      <c r="J45" s="16">
        <v>1500.0</v>
      </c>
      <c r="K45" s="17">
        <v>46053.0</v>
      </c>
      <c r="L45" s="17">
        <v>46068.0</v>
      </c>
      <c r="M45" s="8" t="s">
        <v>66</v>
      </c>
    </row>
    <row r="46" ht="15.75" customHeight="1">
      <c r="A46" s="12" t="s">
        <v>284</v>
      </c>
      <c r="B46" s="12" t="s">
        <v>285</v>
      </c>
      <c r="C46" s="13" t="s">
        <v>286</v>
      </c>
      <c r="D46" s="12" t="s">
        <v>287</v>
      </c>
      <c r="E46" s="12" t="s">
        <v>288</v>
      </c>
      <c r="F46" s="12" t="s">
        <v>248</v>
      </c>
      <c r="G46" s="12" t="s">
        <v>48</v>
      </c>
      <c r="H46" s="12" t="s">
        <v>28</v>
      </c>
      <c r="I46" s="12" t="s">
        <v>77</v>
      </c>
      <c r="J46" s="16">
        <v>2000.0</v>
      </c>
      <c r="K46" s="17">
        <v>46259.0</v>
      </c>
      <c r="L46" s="17">
        <v>46298.0</v>
      </c>
      <c r="M46" s="8" t="s">
        <v>41</v>
      </c>
    </row>
    <row r="47" ht="15.75" customHeight="1">
      <c r="A47" s="12" t="s">
        <v>289</v>
      </c>
      <c r="B47" s="12" t="s">
        <v>290</v>
      </c>
      <c r="C47" s="13" t="s">
        <v>291</v>
      </c>
      <c r="D47" s="12" t="s">
        <v>292</v>
      </c>
      <c r="E47" s="12" t="s">
        <v>293</v>
      </c>
      <c r="F47" s="12" t="s">
        <v>283</v>
      </c>
      <c r="G47" s="12" t="s">
        <v>48</v>
      </c>
      <c r="H47" s="12" t="s">
        <v>28</v>
      </c>
      <c r="I47" s="12" t="s">
        <v>134</v>
      </c>
      <c r="J47" s="16">
        <v>1500.0</v>
      </c>
      <c r="K47" s="17">
        <v>46043.0</v>
      </c>
      <c r="L47" s="17">
        <v>46059.0</v>
      </c>
      <c r="M47" s="8" t="s">
        <v>30</v>
      </c>
    </row>
    <row r="48" ht="15.75" customHeight="1">
      <c r="A48" s="12" t="s">
        <v>294</v>
      </c>
      <c r="B48" s="12" t="s">
        <v>295</v>
      </c>
      <c r="C48" s="13" t="s">
        <v>296</v>
      </c>
      <c r="D48" s="12"/>
      <c r="E48" s="12" t="s">
        <v>242</v>
      </c>
      <c r="F48" s="12" t="s">
        <v>75</v>
      </c>
      <c r="G48" s="12" t="s">
        <v>39</v>
      </c>
      <c r="H48" s="12" t="s">
        <v>49</v>
      </c>
      <c r="I48" s="12" t="s">
        <v>77</v>
      </c>
      <c r="J48" s="16">
        <v>1500.0</v>
      </c>
      <c r="K48" s="17">
        <v>46173.0</v>
      </c>
      <c r="L48" s="17">
        <v>46174.0</v>
      </c>
      <c r="M48" s="8" t="s">
        <v>41</v>
      </c>
    </row>
    <row r="49" ht="15.75" customHeight="1">
      <c r="A49" s="12" t="s">
        <v>299</v>
      </c>
      <c r="B49" s="12" t="s">
        <v>300</v>
      </c>
      <c r="C49" s="13" t="s">
        <v>301</v>
      </c>
      <c r="D49" s="12"/>
      <c r="E49" s="12" t="s">
        <v>303</v>
      </c>
      <c r="F49" s="12" t="s">
        <v>56</v>
      </c>
      <c r="G49" s="12" t="s">
        <v>106</v>
      </c>
      <c r="H49" s="12" t="s">
        <v>40</v>
      </c>
      <c r="I49" s="12" t="s">
        <v>304</v>
      </c>
      <c r="J49" s="16">
        <v>1200.0</v>
      </c>
      <c r="K49" s="17">
        <v>46187.0</v>
      </c>
      <c r="L49" s="17">
        <v>46204.0</v>
      </c>
    </row>
    <row r="50" ht="15.75" customHeight="1">
      <c r="A50" s="12" t="s">
        <v>1009</v>
      </c>
      <c r="B50" s="12" t="s">
        <v>1010</v>
      </c>
      <c r="C50" s="13" t="s">
        <v>1011</v>
      </c>
      <c r="D50" s="12" t="s">
        <v>1012</v>
      </c>
      <c r="E50" s="12" t="s">
        <v>1013</v>
      </c>
      <c r="F50" s="12" t="s">
        <v>201</v>
      </c>
      <c r="G50" s="12" t="s">
        <v>57</v>
      </c>
      <c r="H50" s="12" t="s">
        <v>76</v>
      </c>
      <c r="I50" s="12" t="s">
        <v>50</v>
      </c>
      <c r="J50" s="16">
        <v>3000.0</v>
      </c>
      <c r="K50" s="17">
        <v>46045.0</v>
      </c>
      <c r="L50" s="17">
        <v>46073.0</v>
      </c>
      <c r="M50" s="8" t="s">
        <v>95</v>
      </c>
    </row>
    <row r="51" ht="15.75" customHeight="1">
      <c r="A51" s="12" t="s">
        <v>308</v>
      </c>
      <c r="B51" s="12" t="s">
        <v>309</v>
      </c>
      <c r="C51" s="13" t="s">
        <v>310</v>
      </c>
      <c r="D51" s="12" t="s">
        <v>311</v>
      </c>
      <c r="E51" s="12" t="s">
        <v>131</v>
      </c>
      <c r="F51" s="12" t="s">
        <v>26</v>
      </c>
      <c r="G51" s="12" t="s">
        <v>39</v>
      </c>
      <c r="H51" s="12" t="s">
        <v>76</v>
      </c>
      <c r="I51" s="12" t="s">
        <v>77</v>
      </c>
      <c r="J51" s="16">
        <v>4500.0</v>
      </c>
      <c r="K51" s="17">
        <v>46244.0</v>
      </c>
      <c r="L51" s="17"/>
      <c r="M51" s="8" t="s">
        <v>41</v>
      </c>
    </row>
    <row r="52" ht="15.75" customHeight="1">
      <c r="A52" s="12" t="s">
        <v>314</v>
      </c>
      <c r="B52" s="12" t="s">
        <v>315</v>
      </c>
      <c r="C52" s="13" t="s">
        <v>316</v>
      </c>
      <c r="D52" s="12" t="s">
        <v>317</v>
      </c>
      <c r="E52" s="12" t="s">
        <v>318</v>
      </c>
      <c r="F52" s="12" t="s">
        <v>82</v>
      </c>
      <c r="G52" s="12" t="s">
        <v>39</v>
      </c>
      <c r="H52" s="12" t="s">
        <v>217</v>
      </c>
      <c r="I52" s="12" t="s">
        <v>50</v>
      </c>
      <c r="J52" s="16">
        <v>750.0</v>
      </c>
      <c r="K52" s="17">
        <v>46260.0</v>
      </c>
      <c r="L52" s="17">
        <v>46289.0</v>
      </c>
      <c r="M52" s="8" t="s">
        <v>41</v>
      </c>
    </row>
    <row r="53" ht="15.75" customHeight="1">
      <c r="A53" s="12" t="s">
        <v>319</v>
      </c>
      <c r="B53" s="12" t="s">
        <v>320</v>
      </c>
      <c r="C53" s="13" t="s">
        <v>322</v>
      </c>
      <c r="D53" s="12" t="s">
        <v>323</v>
      </c>
      <c r="E53" s="12" t="s">
        <v>325</v>
      </c>
      <c r="F53" s="12" t="s">
        <v>168</v>
      </c>
      <c r="G53" s="12" t="s">
        <v>106</v>
      </c>
      <c r="H53" s="12" t="s">
        <v>40</v>
      </c>
      <c r="I53" s="12" t="s">
        <v>58</v>
      </c>
      <c r="J53" s="16"/>
      <c r="K53" s="17">
        <v>46259.0</v>
      </c>
      <c r="L53" s="17">
        <v>46274.0</v>
      </c>
      <c r="M53" s="8" t="s">
        <v>66</v>
      </c>
    </row>
    <row r="54" ht="15.75" customHeight="1">
      <c r="A54" s="12" t="s">
        <v>326</v>
      </c>
      <c r="B54" s="12" t="s">
        <v>327</v>
      </c>
      <c r="C54" s="13" t="s">
        <v>328</v>
      </c>
      <c r="D54" s="12" t="s">
        <v>331</v>
      </c>
      <c r="E54" s="12" t="s">
        <v>332</v>
      </c>
      <c r="F54" s="12" t="s">
        <v>126</v>
      </c>
      <c r="G54" s="12" t="s">
        <v>57</v>
      </c>
      <c r="H54" s="12" t="s">
        <v>28</v>
      </c>
      <c r="I54" s="12" t="s">
        <v>29</v>
      </c>
      <c r="J54" s="16">
        <v>1200.0</v>
      </c>
      <c r="K54" s="17">
        <v>46158.0</v>
      </c>
      <c r="L54" s="17">
        <v>46171.0</v>
      </c>
      <c r="M54" s="8" t="s">
        <v>95</v>
      </c>
    </row>
    <row r="55" ht="15.75" customHeight="1">
      <c r="A55" s="12" t="s">
        <v>335</v>
      </c>
      <c r="B55" s="12" t="s">
        <v>336</v>
      </c>
      <c r="C55" s="13" t="s">
        <v>337</v>
      </c>
      <c r="D55" s="12" t="s">
        <v>338</v>
      </c>
      <c r="E55" s="12" t="s">
        <v>339</v>
      </c>
      <c r="F55" s="12" t="s">
        <v>211</v>
      </c>
      <c r="G55" s="12" t="s">
        <v>48</v>
      </c>
      <c r="H55" s="12" t="s">
        <v>217</v>
      </c>
      <c r="I55" s="12" t="s">
        <v>58</v>
      </c>
      <c r="J55" s="16">
        <v>900.0</v>
      </c>
      <c r="K55" s="17">
        <v>46029.0</v>
      </c>
      <c r="L55" s="17">
        <v>46064.0</v>
      </c>
      <c r="M55" s="8" t="s">
        <v>30</v>
      </c>
    </row>
    <row r="56" ht="15.75" customHeight="1">
      <c r="A56" s="12" t="s">
        <v>341</v>
      </c>
      <c r="B56" s="12" t="s">
        <v>342</v>
      </c>
      <c r="C56" s="13" t="s">
        <v>343</v>
      </c>
      <c r="D56" s="12" t="s">
        <v>346</v>
      </c>
      <c r="E56" s="12" t="s">
        <v>347</v>
      </c>
      <c r="F56" s="12" t="s">
        <v>151</v>
      </c>
      <c r="G56" s="12" t="s">
        <v>133</v>
      </c>
      <c r="H56" s="12" t="s">
        <v>49</v>
      </c>
      <c r="I56" s="12" t="s">
        <v>134</v>
      </c>
      <c r="J56" s="16">
        <v>2000.0</v>
      </c>
      <c r="K56" s="17">
        <v>46264.0</v>
      </c>
      <c r="L56" s="17"/>
      <c r="M56" s="8" t="s">
        <v>107</v>
      </c>
    </row>
    <row r="57" ht="15.75" customHeight="1">
      <c r="A57" s="12" t="s">
        <v>349</v>
      </c>
      <c r="B57" s="12" t="s">
        <v>128</v>
      </c>
      <c r="C57" s="13" t="s">
        <v>350</v>
      </c>
      <c r="D57" s="12" t="s">
        <v>355</v>
      </c>
      <c r="E57" s="12" t="s">
        <v>282</v>
      </c>
      <c r="F57" s="12" t="s">
        <v>132</v>
      </c>
      <c r="G57" s="12" t="s">
        <v>57</v>
      </c>
      <c r="H57" s="12" t="s">
        <v>217</v>
      </c>
      <c r="I57" s="12" t="s">
        <v>77</v>
      </c>
      <c r="J57" s="16">
        <v>4500.0</v>
      </c>
      <c r="K57" s="17">
        <v>46135.0</v>
      </c>
      <c r="L57" s="17">
        <v>46172.0</v>
      </c>
      <c r="M57" s="8" t="s">
        <v>107</v>
      </c>
    </row>
    <row r="58" ht="15.75" customHeight="1">
      <c r="A58" s="12" t="s">
        <v>356</v>
      </c>
      <c r="B58" s="12" t="s">
        <v>357</v>
      </c>
      <c r="C58" s="13" t="s">
        <v>358</v>
      </c>
      <c r="D58" s="12" t="s">
        <v>359</v>
      </c>
      <c r="E58" s="12" t="s">
        <v>360</v>
      </c>
      <c r="F58" s="12" t="s">
        <v>361</v>
      </c>
      <c r="G58" s="12" t="s">
        <v>27</v>
      </c>
      <c r="H58" s="12" t="s">
        <v>40</v>
      </c>
      <c r="I58" s="12" t="s">
        <v>362</v>
      </c>
      <c r="J58" s="16">
        <v>4500.0</v>
      </c>
      <c r="K58" s="17">
        <v>46066.0</v>
      </c>
      <c r="L58" s="17">
        <v>46107.0</v>
      </c>
      <c r="M58" s="8" t="s">
        <v>41</v>
      </c>
    </row>
    <row r="59" ht="15.75" customHeight="1">
      <c r="A59" s="12" t="s">
        <v>363</v>
      </c>
      <c r="B59" s="12" t="s">
        <v>364</v>
      </c>
      <c r="C59" s="13" t="s">
        <v>365</v>
      </c>
      <c r="D59" s="12" t="s">
        <v>366</v>
      </c>
      <c r="E59" s="12" t="s">
        <v>367</v>
      </c>
      <c r="F59" s="12" t="s">
        <v>283</v>
      </c>
      <c r="G59" s="12" t="s">
        <v>106</v>
      </c>
      <c r="H59" s="12" t="s">
        <v>40</v>
      </c>
      <c r="I59" s="12" t="s">
        <v>77</v>
      </c>
      <c r="J59" s="16">
        <v>1200.0</v>
      </c>
      <c r="K59" s="17">
        <v>46255.0</v>
      </c>
      <c r="L59" s="17">
        <v>46290.0</v>
      </c>
      <c r="M59" s="8" t="s">
        <v>41</v>
      </c>
    </row>
    <row r="60" ht="15.75" customHeight="1">
      <c r="A60" s="12" t="s">
        <v>368</v>
      </c>
      <c r="B60" s="12" t="s">
        <v>369</v>
      </c>
      <c r="C60" s="13" t="s">
        <v>370</v>
      </c>
      <c r="D60" s="12" t="s">
        <v>371</v>
      </c>
      <c r="E60" s="12" t="s">
        <v>156</v>
      </c>
      <c r="F60" s="12" t="s">
        <v>283</v>
      </c>
      <c r="G60" s="12" t="s">
        <v>57</v>
      </c>
      <c r="H60" s="12" t="s">
        <v>49</v>
      </c>
      <c r="I60" s="12" t="s">
        <v>77</v>
      </c>
      <c r="J60" s="16">
        <v>500.0</v>
      </c>
      <c r="K60" s="17">
        <v>46216.0</v>
      </c>
      <c r="L60" s="17">
        <v>46239.0</v>
      </c>
    </row>
    <row r="61" ht="15.75" customHeight="1">
      <c r="A61" s="12" t="s">
        <v>157</v>
      </c>
      <c r="B61" s="12" t="s">
        <v>158</v>
      </c>
      <c r="C61" s="13" t="s">
        <v>159</v>
      </c>
      <c r="D61" s="12" t="s">
        <v>160</v>
      </c>
      <c r="E61" s="12" t="s">
        <v>161</v>
      </c>
      <c r="F61" s="12" t="s">
        <v>162</v>
      </c>
      <c r="G61" s="12" t="s">
        <v>48</v>
      </c>
      <c r="H61" s="12" t="s">
        <v>28</v>
      </c>
      <c r="I61" s="12" t="s">
        <v>134</v>
      </c>
      <c r="J61" s="16">
        <v>1500.0</v>
      </c>
      <c r="K61" s="17">
        <v>46253.0</v>
      </c>
      <c r="L61" s="17">
        <v>46275.0</v>
      </c>
      <c r="M61" s="8" t="s">
        <v>66</v>
      </c>
    </row>
    <row r="62" ht="15.75" customHeight="1">
      <c r="A62" s="12" t="s">
        <v>377</v>
      </c>
      <c r="B62" s="12" t="s">
        <v>327</v>
      </c>
      <c r="C62" s="52" t="s">
        <v>379</v>
      </c>
      <c r="D62" s="12" t="s">
        <v>381</v>
      </c>
      <c r="E62" s="12" t="s">
        <v>382</v>
      </c>
      <c r="F62" s="12" t="s">
        <v>211</v>
      </c>
      <c r="G62" s="12" t="s">
        <v>27</v>
      </c>
      <c r="H62" s="12" t="s">
        <v>49</v>
      </c>
      <c r="I62" s="12" t="s">
        <v>50</v>
      </c>
      <c r="J62" s="16">
        <v>2000.0</v>
      </c>
      <c r="K62" s="17">
        <v>46230.0</v>
      </c>
      <c r="L62" s="17">
        <v>46274.0</v>
      </c>
      <c r="M62" s="8" t="s">
        <v>66</v>
      </c>
    </row>
    <row r="63" ht="15.75" customHeight="1">
      <c r="A63" s="12" t="s">
        <v>383</v>
      </c>
      <c r="B63" s="12" t="s">
        <v>384</v>
      </c>
      <c r="C63" s="13" t="s">
        <v>385</v>
      </c>
      <c r="D63" s="12" t="s">
        <v>386</v>
      </c>
      <c r="E63" s="12" t="s">
        <v>387</v>
      </c>
      <c r="F63" s="12" t="s">
        <v>132</v>
      </c>
      <c r="G63" s="12" t="s">
        <v>133</v>
      </c>
      <c r="H63" s="12" t="s">
        <v>217</v>
      </c>
      <c r="I63" s="12" t="s">
        <v>29</v>
      </c>
      <c r="J63" s="16">
        <v>2500.0</v>
      </c>
      <c r="K63" s="17">
        <v>46246.0</v>
      </c>
      <c r="L63" s="17">
        <v>46282.0</v>
      </c>
      <c r="M63" s="8" t="s">
        <v>30</v>
      </c>
    </row>
    <row r="64" ht="15.75" customHeight="1">
      <c r="A64" s="12" t="s">
        <v>388</v>
      </c>
      <c r="B64" s="12" t="s">
        <v>389</v>
      </c>
      <c r="C64" s="13" t="s">
        <v>390</v>
      </c>
      <c r="D64" s="12" t="s">
        <v>391</v>
      </c>
      <c r="E64" s="12" t="s">
        <v>392</v>
      </c>
      <c r="F64" s="12" t="s">
        <v>26</v>
      </c>
      <c r="G64" s="12" t="s">
        <v>27</v>
      </c>
      <c r="H64" s="12" t="s">
        <v>28</v>
      </c>
      <c r="I64" s="12" t="s">
        <v>77</v>
      </c>
      <c r="J64" s="16">
        <v>2000.0</v>
      </c>
      <c r="K64" s="17">
        <v>46116.0</v>
      </c>
      <c r="L64" s="17">
        <v>46132.0</v>
      </c>
      <c r="M64" s="8" t="s">
        <v>41</v>
      </c>
    </row>
    <row r="65" ht="15.75" customHeight="1">
      <c r="A65" s="12" t="s">
        <v>393</v>
      </c>
      <c r="B65" s="12" t="s">
        <v>394</v>
      </c>
      <c r="C65" s="52"/>
      <c r="D65" s="12" t="s">
        <v>395</v>
      </c>
      <c r="E65" s="12" t="s">
        <v>131</v>
      </c>
      <c r="F65" s="12" t="s">
        <v>132</v>
      </c>
      <c r="G65" s="12" t="s">
        <v>27</v>
      </c>
      <c r="H65" s="12" t="s">
        <v>49</v>
      </c>
      <c r="I65" s="12" t="s">
        <v>77</v>
      </c>
      <c r="J65" s="16">
        <v>900.0</v>
      </c>
      <c r="K65" s="17">
        <v>46230.0</v>
      </c>
      <c r="L65" s="17">
        <v>46248.0</v>
      </c>
    </row>
    <row r="66" ht="15.75" customHeight="1">
      <c r="A66" s="12" t="s">
        <v>396</v>
      </c>
      <c r="B66" s="12" t="s">
        <v>397</v>
      </c>
      <c r="C66" s="13" t="s">
        <v>398</v>
      </c>
      <c r="D66" s="12" t="s">
        <v>399</v>
      </c>
      <c r="E66" s="12" t="s">
        <v>400</v>
      </c>
      <c r="F66" s="12" t="s">
        <v>126</v>
      </c>
      <c r="G66" s="12" t="s">
        <v>106</v>
      </c>
      <c r="H66" s="12" t="s">
        <v>217</v>
      </c>
      <c r="I66" s="12" t="s">
        <v>58</v>
      </c>
      <c r="J66" s="16">
        <v>350.0</v>
      </c>
      <c r="K66" s="17">
        <v>46261.0</v>
      </c>
      <c r="L66" s="17"/>
      <c r="M66" s="8" t="s">
        <v>30</v>
      </c>
    </row>
    <row r="67" ht="15.75" customHeight="1">
      <c r="A67" s="12" t="s">
        <v>401</v>
      </c>
      <c r="B67" s="12" t="s">
        <v>402</v>
      </c>
      <c r="C67" s="13" t="s">
        <v>403</v>
      </c>
      <c r="D67" s="12" t="s">
        <v>404</v>
      </c>
      <c r="E67" s="12" t="s">
        <v>405</v>
      </c>
      <c r="F67" s="12" t="s">
        <v>205</v>
      </c>
      <c r="G67" s="12" t="s">
        <v>57</v>
      </c>
      <c r="H67" s="12" t="s">
        <v>76</v>
      </c>
      <c r="I67" s="12" t="s">
        <v>65</v>
      </c>
      <c r="J67" s="16">
        <v>2500.0</v>
      </c>
      <c r="K67" s="17">
        <v>46097.0</v>
      </c>
      <c r="L67" s="17">
        <v>46104.0</v>
      </c>
      <c r="M67" s="8" t="s">
        <v>30</v>
      </c>
    </row>
    <row r="68" ht="15.75" customHeight="1">
      <c r="A68" s="12" t="s">
        <v>406</v>
      </c>
      <c r="B68" s="12" t="s">
        <v>407</v>
      </c>
      <c r="C68" s="13" t="s">
        <v>408</v>
      </c>
      <c r="D68" s="12" t="s">
        <v>409</v>
      </c>
      <c r="E68" s="12" t="s">
        <v>293</v>
      </c>
      <c r="F68" s="12" t="s">
        <v>47</v>
      </c>
      <c r="G68" s="12" t="s">
        <v>48</v>
      </c>
      <c r="H68" s="12" t="s">
        <v>28</v>
      </c>
      <c r="I68" s="12" t="s">
        <v>77</v>
      </c>
      <c r="J68" s="16">
        <v>350.0</v>
      </c>
      <c r="K68" s="17">
        <v>46209.0</v>
      </c>
      <c r="L68" s="17">
        <v>46253.0</v>
      </c>
      <c r="M68" s="8" t="s">
        <v>41</v>
      </c>
    </row>
    <row r="69" ht="15.75" customHeight="1">
      <c r="A69" s="12" t="s">
        <v>410</v>
      </c>
      <c r="B69" s="12" t="s">
        <v>411</v>
      </c>
      <c r="C69" s="13" t="s">
        <v>412</v>
      </c>
      <c r="D69" s="12" t="s">
        <v>413</v>
      </c>
      <c r="E69" s="12" t="s">
        <v>414</v>
      </c>
      <c r="F69" s="12" t="s">
        <v>56</v>
      </c>
      <c r="G69" s="12" t="s">
        <v>133</v>
      </c>
      <c r="H69" s="12" t="s">
        <v>76</v>
      </c>
      <c r="I69" s="12" t="s">
        <v>58</v>
      </c>
      <c r="J69" s="16">
        <v>3000.0</v>
      </c>
      <c r="K69" s="17">
        <v>46239.0</v>
      </c>
      <c r="L69" s="17">
        <v>46255.0</v>
      </c>
      <c r="M69" s="8" t="s">
        <v>66</v>
      </c>
    </row>
    <row r="70" ht="15.75" customHeight="1">
      <c r="A70" s="12" t="s">
        <v>415</v>
      </c>
      <c r="B70" s="12" t="s">
        <v>416</v>
      </c>
      <c r="C70" s="13" t="s">
        <v>417</v>
      </c>
      <c r="D70" s="12" t="s">
        <v>418</v>
      </c>
      <c r="E70" s="12" t="s">
        <v>419</v>
      </c>
      <c r="F70" s="12" t="s">
        <v>151</v>
      </c>
      <c r="G70" s="12" t="s">
        <v>106</v>
      </c>
      <c r="H70" s="12" t="s">
        <v>76</v>
      </c>
      <c r="I70" s="12" t="s">
        <v>29</v>
      </c>
      <c r="J70" s="16">
        <v>1200.0</v>
      </c>
      <c r="K70" s="17">
        <v>46239.0</v>
      </c>
      <c r="L70" s="17">
        <v>46261.0</v>
      </c>
      <c r="M70" s="8" t="s">
        <v>95</v>
      </c>
    </row>
    <row r="71" ht="15.75" customHeight="1">
      <c r="A71" s="12" t="s">
        <v>420</v>
      </c>
      <c r="B71" s="12" t="s">
        <v>421</v>
      </c>
      <c r="C71" s="13" t="s">
        <v>422</v>
      </c>
      <c r="D71" s="12" t="s">
        <v>423</v>
      </c>
      <c r="E71" s="12" t="s">
        <v>424</v>
      </c>
      <c r="F71" s="12" t="s">
        <v>205</v>
      </c>
      <c r="G71" s="12" t="s">
        <v>133</v>
      </c>
      <c r="H71" s="12" t="s">
        <v>28</v>
      </c>
      <c r="I71" s="12" t="s">
        <v>65</v>
      </c>
      <c r="J71" s="16">
        <v>2000.0</v>
      </c>
      <c r="K71" s="17">
        <v>46162.0</v>
      </c>
      <c r="L71" s="17">
        <v>46178.0</v>
      </c>
      <c r="M71" s="8" t="s">
        <v>30</v>
      </c>
    </row>
    <row r="72" ht="15.75" customHeight="1">
      <c r="A72" s="12" t="s">
        <v>425</v>
      </c>
      <c r="B72" s="12" t="s">
        <v>426</v>
      </c>
      <c r="C72" s="13" t="s">
        <v>427</v>
      </c>
      <c r="D72" s="12" t="s">
        <v>428</v>
      </c>
      <c r="E72" s="12" t="s">
        <v>429</v>
      </c>
      <c r="F72" s="12" t="s">
        <v>75</v>
      </c>
      <c r="G72" s="12" t="s">
        <v>39</v>
      </c>
      <c r="H72" s="12" t="s">
        <v>217</v>
      </c>
      <c r="I72" s="12" t="s">
        <v>65</v>
      </c>
      <c r="J72" s="16">
        <v>3000.0</v>
      </c>
      <c r="K72" s="17">
        <v>46031.0</v>
      </c>
      <c r="L72" s="17">
        <v>46043.0</v>
      </c>
      <c r="M72" s="8" t="s">
        <v>95</v>
      </c>
    </row>
    <row r="73" ht="15.75" customHeight="1">
      <c r="A73" s="12" t="s">
        <v>33</v>
      </c>
      <c r="B73" s="12" t="s">
        <v>34</v>
      </c>
      <c r="C73" s="13" t="s">
        <v>35</v>
      </c>
      <c r="D73" s="12" t="s">
        <v>36</v>
      </c>
      <c r="E73" s="12" t="s">
        <v>37</v>
      </c>
      <c r="F73" s="12" t="s">
        <v>38</v>
      </c>
      <c r="G73" s="12" t="s">
        <v>39</v>
      </c>
      <c r="H73" s="12" t="s">
        <v>40</v>
      </c>
      <c r="I73" s="12" t="s">
        <v>29</v>
      </c>
      <c r="J73" s="16">
        <v>3000.0</v>
      </c>
      <c r="K73" s="17">
        <v>46088.0</v>
      </c>
      <c r="L73" s="17">
        <v>46113.0</v>
      </c>
      <c r="M73" s="8" t="s">
        <v>41</v>
      </c>
    </row>
    <row r="74" ht="15.75" customHeight="1">
      <c r="A74" s="12" t="s">
        <v>431</v>
      </c>
      <c r="B74" s="12" t="s">
        <v>432</v>
      </c>
      <c r="C74" s="13" t="s">
        <v>433</v>
      </c>
      <c r="D74" s="12" t="s">
        <v>434</v>
      </c>
      <c r="E74" s="12"/>
      <c r="F74" s="12" t="s">
        <v>88</v>
      </c>
      <c r="G74" s="12" t="s">
        <v>133</v>
      </c>
      <c r="H74" s="12" t="s">
        <v>28</v>
      </c>
      <c r="I74" s="12" t="s">
        <v>134</v>
      </c>
      <c r="J74" s="16">
        <v>2500.0</v>
      </c>
      <c r="K74" s="17">
        <v>46125.0</v>
      </c>
      <c r="L74" s="17">
        <v>46150.0</v>
      </c>
      <c r="M74" s="8" t="s">
        <v>30</v>
      </c>
    </row>
    <row r="75" ht="15.75" customHeight="1">
      <c r="A75" s="12" t="s">
        <v>435</v>
      </c>
      <c r="B75" s="12" t="s">
        <v>436</v>
      </c>
      <c r="C75" s="13" t="s">
        <v>437</v>
      </c>
      <c r="D75" s="12" t="s">
        <v>438</v>
      </c>
      <c r="E75" s="12" t="s">
        <v>439</v>
      </c>
      <c r="F75" s="12" t="s">
        <v>220</v>
      </c>
      <c r="G75" s="12" t="s">
        <v>133</v>
      </c>
      <c r="H75" s="12" t="s">
        <v>40</v>
      </c>
      <c r="I75" s="12" t="s">
        <v>65</v>
      </c>
      <c r="J75" s="16">
        <v>350.0</v>
      </c>
      <c r="K75" s="17">
        <v>46223.0</v>
      </c>
      <c r="L75" s="17">
        <v>46248.0</v>
      </c>
      <c r="M75" s="8" t="s">
        <v>30</v>
      </c>
    </row>
    <row r="76" ht="15.75" customHeight="1">
      <c r="A76" s="12" t="s">
        <v>440</v>
      </c>
      <c r="B76" s="12" t="s">
        <v>441</v>
      </c>
      <c r="C76" s="13" t="s">
        <v>442</v>
      </c>
      <c r="D76" s="12"/>
      <c r="E76" s="12" t="s">
        <v>443</v>
      </c>
      <c r="F76" s="12" t="s">
        <v>216</v>
      </c>
      <c r="G76" s="12" t="s">
        <v>39</v>
      </c>
      <c r="H76" s="12" t="s">
        <v>28</v>
      </c>
      <c r="I76" s="12" t="s">
        <v>29</v>
      </c>
      <c r="J76" s="16">
        <v>4500.0</v>
      </c>
      <c r="K76" s="17">
        <v>46085.0</v>
      </c>
      <c r="L76" s="17">
        <v>46117.0</v>
      </c>
      <c r="M76" s="8" t="s">
        <v>107</v>
      </c>
    </row>
    <row r="77" ht="15.75" customHeight="1">
      <c r="A77" s="12" t="s">
        <v>444</v>
      </c>
      <c r="B77" s="12" t="s">
        <v>445</v>
      </c>
      <c r="C77" s="13" t="s">
        <v>446</v>
      </c>
      <c r="D77" s="12" t="s">
        <v>447</v>
      </c>
      <c r="E77" s="12" t="s">
        <v>448</v>
      </c>
      <c r="F77" s="12" t="s">
        <v>283</v>
      </c>
      <c r="G77" s="12" t="s">
        <v>48</v>
      </c>
      <c r="H77" s="12" t="s">
        <v>76</v>
      </c>
      <c r="I77" s="12" t="s">
        <v>50</v>
      </c>
      <c r="J77" s="16">
        <v>2000.0</v>
      </c>
      <c r="K77" s="17">
        <v>46197.0</v>
      </c>
      <c r="L77" s="17">
        <v>46199.0</v>
      </c>
      <c r="M77" s="8" t="s">
        <v>41</v>
      </c>
    </row>
    <row r="78" ht="15.75" customHeight="1">
      <c r="A78" s="12" t="s">
        <v>449</v>
      </c>
      <c r="B78" s="12" t="s">
        <v>450</v>
      </c>
      <c r="C78" s="13" t="s">
        <v>451</v>
      </c>
      <c r="D78" s="12" t="s">
        <v>452</v>
      </c>
      <c r="E78" s="12" t="s">
        <v>453</v>
      </c>
      <c r="F78" s="12" t="s">
        <v>454</v>
      </c>
      <c r="G78" s="12" t="s">
        <v>27</v>
      </c>
      <c r="H78" s="12" t="s">
        <v>40</v>
      </c>
      <c r="I78" s="12" t="s">
        <v>58</v>
      </c>
      <c r="J78" s="16">
        <v>500.0</v>
      </c>
      <c r="K78" s="17">
        <v>46150.0</v>
      </c>
      <c r="L78" s="17">
        <v>46194.0</v>
      </c>
      <c r="M78" s="8" t="s">
        <v>95</v>
      </c>
    </row>
    <row r="79" ht="15.75" customHeight="1">
      <c r="A79" s="12" t="s">
        <v>455</v>
      </c>
      <c r="B79" s="12" t="s">
        <v>456</v>
      </c>
      <c r="C79" s="13" t="s">
        <v>457</v>
      </c>
      <c r="D79" s="12" t="s">
        <v>458</v>
      </c>
      <c r="E79" s="12" t="s">
        <v>288</v>
      </c>
      <c r="F79" s="12" t="s">
        <v>283</v>
      </c>
      <c r="G79" s="12" t="s">
        <v>39</v>
      </c>
      <c r="H79" s="12" t="s">
        <v>40</v>
      </c>
      <c r="I79" s="12" t="s">
        <v>134</v>
      </c>
      <c r="J79" s="16">
        <v>750.0</v>
      </c>
      <c r="K79" s="17">
        <v>46061.0</v>
      </c>
      <c r="L79" s="17">
        <v>46069.0</v>
      </c>
      <c r="M79" s="8" t="s">
        <v>107</v>
      </c>
    </row>
    <row r="80" ht="15.75" customHeight="1">
      <c r="A80" s="12" t="s">
        <v>459</v>
      </c>
      <c r="B80" s="12" t="s">
        <v>460</v>
      </c>
      <c r="C80" s="13" t="s">
        <v>461</v>
      </c>
      <c r="D80" s="12"/>
      <c r="E80" s="12" t="s">
        <v>462</v>
      </c>
      <c r="F80" s="12" t="s">
        <v>283</v>
      </c>
      <c r="G80" s="12" t="s">
        <v>39</v>
      </c>
      <c r="H80" s="12" t="s">
        <v>28</v>
      </c>
      <c r="I80" s="12" t="s">
        <v>29</v>
      </c>
      <c r="J80" s="16">
        <v>2000.0</v>
      </c>
      <c r="K80" s="17">
        <v>46177.0</v>
      </c>
      <c r="L80" s="17">
        <v>46183.0</v>
      </c>
      <c r="M80" s="8" t="s">
        <v>30</v>
      </c>
    </row>
    <row r="81" ht="15.75" customHeight="1">
      <c r="A81" s="12" t="s">
        <v>463</v>
      </c>
      <c r="B81" s="12" t="s">
        <v>464</v>
      </c>
      <c r="C81" s="13" t="s">
        <v>465</v>
      </c>
      <c r="D81" s="12" t="s">
        <v>466</v>
      </c>
      <c r="E81" s="12" t="s">
        <v>332</v>
      </c>
      <c r="F81" s="12" t="s">
        <v>216</v>
      </c>
      <c r="G81" s="12" t="s">
        <v>57</v>
      </c>
      <c r="H81" s="12" t="s">
        <v>49</v>
      </c>
      <c r="I81" s="12"/>
      <c r="J81" s="16">
        <v>2000.0</v>
      </c>
      <c r="K81" s="17">
        <v>46108.0</v>
      </c>
      <c r="L81" s="17">
        <v>46108.0</v>
      </c>
      <c r="M81" s="8" t="s">
        <v>107</v>
      </c>
    </row>
    <row r="82" ht="15.75" customHeight="1">
      <c r="A82" s="12" t="s">
        <v>467</v>
      </c>
      <c r="B82" s="12" t="s">
        <v>136</v>
      </c>
      <c r="C82" s="13" t="s">
        <v>468</v>
      </c>
      <c r="D82" s="12" t="s">
        <v>469</v>
      </c>
      <c r="E82" s="12" t="s">
        <v>392</v>
      </c>
      <c r="F82" s="12" t="s">
        <v>168</v>
      </c>
      <c r="G82" s="12" t="s">
        <v>57</v>
      </c>
      <c r="H82" s="12" t="s">
        <v>28</v>
      </c>
      <c r="I82" s="12" t="s">
        <v>58</v>
      </c>
      <c r="J82" s="16">
        <v>3000.0</v>
      </c>
      <c r="K82" s="17">
        <v>46033.0</v>
      </c>
      <c r="L82" s="17">
        <v>46075.0</v>
      </c>
      <c r="M82" s="8" t="s">
        <v>41</v>
      </c>
    </row>
    <row r="83" ht="15.75" customHeight="1">
      <c r="A83" s="12" t="s">
        <v>470</v>
      </c>
      <c r="B83" s="12" t="s">
        <v>471</v>
      </c>
      <c r="C83" s="13" t="s">
        <v>472</v>
      </c>
      <c r="D83" s="12" t="s">
        <v>473</v>
      </c>
      <c r="E83" s="12" t="s">
        <v>474</v>
      </c>
      <c r="F83" s="12" t="s">
        <v>168</v>
      </c>
      <c r="G83" s="12" t="s">
        <v>27</v>
      </c>
      <c r="H83" s="12" t="s">
        <v>76</v>
      </c>
      <c r="I83" s="12" t="s">
        <v>134</v>
      </c>
      <c r="J83" s="16">
        <v>350.0</v>
      </c>
      <c r="K83" s="17">
        <v>46250.0</v>
      </c>
      <c r="L83" s="17">
        <v>46262.0</v>
      </c>
      <c r="M83" s="8" t="s">
        <v>41</v>
      </c>
    </row>
    <row r="84" ht="15.75" customHeight="1">
      <c r="A84" s="12" t="s">
        <v>475</v>
      </c>
      <c r="B84" s="12" t="s">
        <v>476</v>
      </c>
      <c r="C84" s="13" t="s">
        <v>477</v>
      </c>
      <c r="D84" s="12" t="s">
        <v>478</v>
      </c>
      <c r="E84" s="12" t="s">
        <v>462</v>
      </c>
      <c r="F84" s="12" t="s">
        <v>168</v>
      </c>
      <c r="G84" s="12" t="s">
        <v>39</v>
      </c>
      <c r="H84" s="12" t="s">
        <v>76</v>
      </c>
      <c r="I84" s="12" t="s">
        <v>77</v>
      </c>
      <c r="J84" s="16">
        <v>4500.0</v>
      </c>
      <c r="K84" s="17">
        <v>46080.0</v>
      </c>
      <c r="L84" s="17">
        <v>46080.0</v>
      </c>
      <c r="M84" s="8" t="s">
        <v>95</v>
      </c>
    </row>
    <row r="85" ht="15.75" customHeight="1">
      <c r="A85" s="12" t="s">
        <v>479</v>
      </c>
      <c r="B85" s="12" t="s">
        <v>480</v>
      </c>
      <c r="C85" s="13" t="s">
        <v>481</v>
      </c>
      <c r="D85" s="12" t="s">
        <v>482</v>
      </c>
      <c r="E85" s="12" t="s">
        <v>483</v>
      </c>
      <c r="F85" s="12" t="s">
        <v>220</v>
      </c>
      <c r="G85" s="12" t="s">
        <v>133</v>
      </c>
      <c r="H85" s="12" t="s">
        <v>217</v>
      </c>
      <c r="I85" s="12" t="s">
        <v>58</v>
      </c>
      <c r="J85" s="16"/>
      <c r="K85" s="17">
        <v>46247.0</v>
      </c>
      <c r="L85" s="17">
        <v>46283.0</v>
      </c>
      <c r="M85" s="8" t="s">
        <v>95</v>
      </c>
    </row>
    <row r="86" ht="15.75" customHeight="1">
      <c r="A86" s="12" t="s">
        <v>484</v>
      </c>
      <c r="B86" s="12" t="s">
        <v>485</v>
      </c>
      <c r="C86" s="52"/>
      <c r="D86" s="12" t="s">
        <v>487</v>
      </c>
      <c r="E86" s="12" t="s">
        <v>488</v>
      </c>
      <c r="F86" s="12" t="s">
        <v>489</v>
      </c>
      <c r="G86" s="12" t="s">
        <v>133</v>
      </c>
      <c r="H86" s="12" t="s">
        <v>76</v>
      </c>
      <c r="I86" s="12" t="s">
        <v>65</v>
      </c>
      <c r="J86" s="16">
        <v>500.0</v>
      </c>
      <c r="K86" s="17">
        <v>46060.0</v>
      </c>
      <c r="L86" s="17">
        <v>46097.0</v>
      </c>
      <c r="M86" s="8" t="s">
        <v>30</v>
      </c>
    </row>
    <row r="87" ht="15.75" customHeight="1">
      <c r="A87" s="12" t="s">
        <v>490</v>
      </c>
      <c r="B87" s="12" t="s">
        <v>491</v>
      </c>
      <c r="C87" s="13" t="s">
        <v>492</v>
      </c>
      <c r="D87" s="12" t="s">
        <v>493</v>
      </c>
      <c r="E87" s="12" t="s">
        <v>494</v>
      </c>
      <c r="F87" s="12" t="s">
        <v>26</v>
      </c>
      <c r="G87" s="12" t="s">
        <v>27</v>
      </c>
      <c r="H87" s="12" t="s">
        <v>28</v>
      </c>
      <c r="I87" s="12" t="s">
        <v>58</v>
      </c>
      <c r="J87" s="16">
        <v>4500.0</v>
      </c>
      <c r="K87" s="17">
        <v>46097.0</v>
      </c>
      <c r="L87" s="17">
        <v>46105.0</v>
      </c>
    </row>
    <row r="88" ht="15.75" customHeight="1">
      <c r="A88" s="12" t="s">
        <v>499</v>
      </c>
      <c r="B88" s="12" t="s">
        <v>500</v>
      </c>
      <c r="C88" s="13" t="s">
        <v>502</v>
      </c>
      <c r="D88" s="12" t="s">
        <v>508</v>
      </c>
      <c r="E88" s="12" t="s">
        <v>509</v>
      </c>
      <c r="F88" s="12" t="s">
        <v>454</v>
      </c>
      <c r="G88" s="12" t="s">
        <v>133</v>
      </c>
      <c r="H88" s="12" t="s">
        <v>28</v>
      </c>
      <c r="I88" s="12" t="s">
        <v>77</v>
      </c>
      <c r="J88" s="16">
        <v>2000.0</v>
      </c>
      <c r="K88" s="17">
        <v>46107.0</v>
      </c>
      <c r="L88" s="17">
        <v>46136.0</v>
      </c>
      <c r="M88" s="8" t="s">
        <v>95</v>
      </c>
    </row>
    <row r="89" ht="15.75" customHeight="1">
      <c r="A89" s="12" t="s">
        <v>516</v>
      </c>
      <c r="B89" s="12" t="s">
        <v>517</v>
      </c>
      <c r="C89" s="13" t="s">
        <v>518</v>
      </c>
      <c r="D89" s="12" t="s">
        <v>522</v>
      </c>
      <c r="E89" s="12" t="s">
        <v>259</v>
      </c>
      <c r="F89" s="12" t="s">
        <v>489</v>
      </c>
      <c r="G89" s="12" t="s">
        <v>48</v>
      </c>
      <c r="H89" s="12" t="s">
        <v>40</v>
      </c>
      <c r="I89" s="12"/>
      <c r="J89" s="16">
        <v>3000.0</v>
      </c>
      <c r="K89" s="17">
        <v>46060.0</v>
      </c>
      <c r="L89" s="17">
        <v>46075.0</v>
      </c>
      <c r="M89" s="8" t="s">
        <v>66</v>
      </c>
    </row>
    <row r="90" ht="15.75" customHeight="1">
      <c r="A90" s="12" t="s">
        <v>530</v>
      </c>
      <c r="B90" s="12" t="s">
        <v>531</v>
      </c>
      <c r="C90" s="13" t="s">
        <v>532</v>
      </c>
      <c r="D90" s="12" t="s">
        <v>537</v>
      </c>
      <c r="E90" s="12" t="s">
        <v>167</v>
      </c>
      <c r="F90" s="12" t="s">
        <v>538</v>
      </c>
      <c r="G90" s="12" t="s">
        <v>27</v>
      </c>
      <c r="H90" s="12" t="s">
        <v>28</v>
      </c>
      <c r="I90" s="12" t="s">
        <v>58</v>
      </c>
      <c r="J90" s="16">
        <v>1500.0</v>
      </c>
      <c r="K90" s="17">
        <v>46214.0</v>
      </c>
      <c r="L90" s="17">
        <v>46255.0</v>
      </c>
      <c r="M90" s="8" t="s">
        <v>66</v>
      </c>
    </row>
    <row r="91" ht="15.75" customHeight="1">
      <c r="A91" s="12" t="s">
        <v>541</v>
      </c>
      <c r="B91" s="12" t="s">
        <v>542</v>
      </c>
      <c r="C91" s="13" t="s">
        <v>543</v>
      </c>
      <c r="D91" s="12" t="s">
        <v>544</v>
      </c>
      <c r="E91" s="12" t="s">
        <v>545</v>
      </c>
      <c r="F91" s="12" t="s">
        <v>546</v>
      </c>
      <c r="G91" s="12" t="s">
        <v>39</v>
      </c>
      <c r="H91" s="12" t="s">
        <v>217</v>
      </c>
      <c r="I91" s="12" t="s">
        <v>65</v>
      </c>
      <c r="J91" s="16">
        <v>1200.0</v>
      </c>
      <c r="K91" s="17">
        <v>46267.0</v>
      </c>
      <c r="L91" s="17">
        <v>46287.0</v>
      </c>
    </row>
    <row r="92" ht="15.75" customHeight="1">
      <c r="A92" s="12" t="s">
        <v>547</v>
      </c>
      <c r="B92" s="12" t="s">
        <v>320</v>
      </c>
      <c r="C92" s="13" t="s">
        <v>548</v>
      </c>
      <c r="D92" s="12" t="s">
        <v>549</v>
      </c>
      <c r="E92" s="12"/>
      <c r="F92" s="12" t="s">
        <v>175</v>
      </c>
      <c r="G92" s="12" t="s">
        <v>39</v>
      </c>
      <c r="H92" s="12" t="s">
        <v>49</v>
      </c>
      <c r="I92" s="12" t="s">
        <v>65</v>
      </c>
      <c r="J92" s="16">
        <v>2000.0</v>
      </c>
      <c r="K92" s="17">
        <v>46253.0</v>
      </c>
      <c r="L92" s="17">
        <v>46266.0</v>
      </c>
      <c r="M92" s="8" t="s">
        <v>41</v>
      </c>
    </row>
    <row r="93" ht="15.75" customHeight="1">
      <c r="A93" s="12" t="s">
        <v>550</v>
      </c>
      <c r="B93" s="12" t="s">
        <v>551</v>
      </c>
      <c r="C93" s="13" t="s">
        <v>552</v>
      </c>
      <c r="D93" s="12" t="s">
        <v>553</v>
      </c>
      <c r="E93" s="12" t="s">
        <v>554</v>
      </c>
      <c r="F93" s="12" t="s">
        <v>26</v>
      </c>
      <c r="G93" s="12" t="s">
        <v>133</v>
      </c>
      <c r="H93" s="12" t="s">
        <v>40</v>
      </c>
      <c r="I93" s="12" t="s">
        <v>29</v>
      </c>
      <c r="J93" s="16">
        <v>750.0</v>
      </c>
      <c r="K93" s="17">
        <v>46120.0</v>
      </c>
      <c r="L93" s="17">
        <v>46159.0</v>
      </c>
      <c r="M93" s="8" t="s">
        <v>66</v>
      </c>
    </row>
    <row r="94" ht="15.75" customHeight="1">
      <c r="A94" s="12" t="s">
        <v>555</v>
      </c>
      <c r="B94" s="12" t="s">
        <v>476</v>
      </c>
      <c r="C94" s="13" t="s">
        <v>556</v>
      </c>
      <c r="D94" s="12" t="s">
        <v>557</v>
      </c>
      <c r="E94" s="12" t="s">
        <v>112</v>
      </c>
      <c r="F94" s="12" t="s">
        <v>538</v>
      </c>
      <c r="G94" s="12" t="s">
        <v>48</v>
      </c>
      <c r="H94" s="12" t="s">
        <v>217</v>
      </c>
      <c r="I94" s="12" t="s">
        <v>77</v>
      </c>
      <c r="J94" s="16">
        <v>1500.0</v>
      </c>
      <c r="K94" s="17">
        <v>46080.0</v>
      </c>
      <c r="L94" s="17">
        <v>46113.0</v>
      </c>
      <c r="M94" s="8" t="s">
        <v>30</v>
      </c>
    </row>
    <row r="95" ht="15.75" customHeight="1">
      <c r="A95" s="12" t="s">
        <v>558</v>
      </c>
      <c r="B95" s="12" t="s">
        <v>559</v>
      </c>
      <c r="C95" s="13" t="s">
        <v>560</v>
      </c>
      <c r="D95" s="12" t="s">
        <v>561</v>
      </c>
      <c r="E95" s="12" t="s">
        <v>562</v>
      </c>
      <c r="F95" s="12" t="s">
        <v>140</v>
      </c>
      <c r="G95" s="12" t="s">
        <v>106</v>
      </c>
      <c r="H95" s="12" t="s">
        <v>40</v>
      </c>
      <c r="I95" s="12" t="s">
        <v>29</v>
      </c>
      <c r="J95" s="16">
        <v>2500.0</v>
      </c>
      <c r="K95" s="17">
        <v>46055.0</v>
      </c>
      <c r="L95" s="17">
        <v>46064.0</v>
      </c>
      <c r="M95" s="8" t="s">
        <v>66</v>
      </c>
    </row>
    <row r="96" ht="15.75" customHeight="1">
      <c r="A96" s="12" t="s">
        <v>563</v>
      </c>
      <c r="B96" s="12" t="s">
        <v>564</v>
      </c>
      <c r="C96" s="13" t="s">
        <v>565</v>
      </c>
      <c r="D96" s="12" t="s">
        <v>566</v>
      </c>
      <c r="E96" s="12" t="s">
        <v>453</v>
      </c>
      <c r="F96" s="12" t="s">
        <v>175</v>
      </c>
      <c r="G96" s="12" t="s">
        <v>27</v>
      </c>
      <c r="H96" s="12" t="s">
        <v>40</v>
      </c>
      <c r="I96" s="12" t="s">
        <v>58</v>
      </c>
      <c r="J96" s="16"/>
      <c r="K96" s="17">
        <v>46256.0</v>
      </c>
      <c r="L96" s="17">
        <v>46290.0</v>
      </c>
    </row>
    <row r="97" ht="15.75" customHeight="1">
      <c r="A97" s="12" t="s">
        <v>567</v>
      </c>
      <c r="B97" s="12" t="s">
        <v>568</v>
      </c>
      <c r="C97" s="13" t="s">
        <v>569</v>
      </c>
      <c r="D97" s="12" t="s">
        <v>570</v>
      </c>
      <c r="E97" s="12" t="s">
        <v>571</v>
      </c>
      <c r="F97" s="12" t="s">
        <v>248</v>
      </c>
      <c r="G97" s="12" t="s">
        <v>57</v>
      </c>
      <c r="H97" s="12" t="s">
        <v>217</v>
      </c>
      <c r="I97" s="12" t="s">
        <v>50</v>
      </c>
      <c r="J97" s="16"/>
      <c r="K97" s="17">
        <v>46043.0</v>
      </c>
      <c r="L97" s="17">
        <v>46051.0</v>
      </c>
      <c r="M97" s="8" t="s">
        <v>41</v>
      </c>
    </row>
    <row r="98" ht="15.75" customHeight="1">
      <c r="A98" s="12" t="s">
        <v>572</v>
      </c>
      <c r="B98" s="12" t="s">
        <v>573</v>
      </c>
      <c r="C98" s="13" t="s">
        <v>574</v>
      </c>
      <c r="D98" s="12" t="s">
        <v>575</v>
      </c>
      <c r="E98" s="12" t="s">
        <v>576</v>
      </c>
      <c r="F98" s="12" t="s">
        <v>162</v>
      </c>
      <c r="G98" s="12" t="s">
        <v>39</v>
      </c>
      <c r="H98" s="12" t="s">
        <v>217</v>
      </c>
      <c r="I98" s="12" t="s">
        <v>577</v>
      </c>
      <c r="J98" s="16">
        <v>2000.0</v>
      </c>
      <c r="K98" s="17">
        <v>46141.0</v>
      </c>
      <c r="L98" s="17">
        <v>46158.0</v>
      </c>
      <c r="M98" s="8" t="s">
        <v>30</v>
      </c>
    </row>
    <row r="99" ht="15.75" customHeight="1">
      <c r="A99" s="12" t="s">
        <v>578</v>
      </c>
      <c r="B99" s="12" t="s">
        <v>579</v>
      </c>
      <c r="C99" s="52"/>
      <c r="D99" s="12" t="s">
        <v>580</v>
      </c>
      <c r="E99" s="12" t="s">
        <v>581</v>
      </c>
      <c r="F99" s="12" t="s">
        <v>582</v>
      </c>
      <c r="G99" s="12" t="s">
        <v>57</v>
      </c>
      <c r="H99" s="12" t="s">
        <v>76</v>
      </c>
      <c r="I99" s="12" t="s">
        <v>77</v>
      </c>
      <c r="J99" s="16">
        <v>2000.0</v>
      </c>
      <c r="K99" s="17">
        <v>46041.0</v>
      </c>
      <c r="L99" s="17">
        <v>46061.0</v>
      </c>
      <c r="M99" s="8" t="s">
        <v>66</v>
      </c>
    </row>
    <row r="100" ht="15.75" customHeight="1">
      <c r="A100" s="12" t="s">
        <v>583</v>
      </c>
      <c r="B100" s="12" t="s">
        <v>584</v>
      </c>
      <c r="C100" s="13" t="s">
        <v>585</v>
      </c>
      <c r="D100" s="12" t="s">
        <v>586</v>
      </c>
      <c r="E100" s="12" t="s">
        <v>131</v>
      </c>
      <c r="F100" s="12" t="s">
        <v>47</v>
      </c>
      <c r="G100" s="12" t="s">
        <v>133</v>
      </c>
      <c r="H100" s="12" t="s">
        <v>40</v>
      </c>
      <c r="I100" s="12" t="s">
        <v>134</v>
      </c>
      <c r="J100" s="16">
        <v>1500.0</v>
      </c>
      <c r="K100" s="17">
        <v>46183.0</v>
      </c>
      <c r="L100" s="17">
        <v>46199.0</v>
      </c>
      <c r="M100" s="8" t="s">
        <v>107</v>
      </c>
    </row>
    <row r="101" ht="15.75" customHeight="1">
      <c r="A101" s="12" t="s">
        <v>372</v>
      </c>
      <c r="B101" s="12" t="s">
        <v>373</v>
      </c>
      <c r="C101" s="13" t="s">
        <v>374</v>
      </c>
      <c r="D101" s="12" t="s">
        <v>375</v>
      </c>
      <c r="E101" s="12" t="s">
        <v>376</v>
      </c>
      <c r="F101" s="12" t="s">
        <v>162</v>
      </c>
      <c r="G101" s="12" t="s">
        <v>48</v>
      </c>
      <c r="H101" s="12" t="s">
        <v>76</v>
      </c>
      <c r="I101" s="12" t="s">
        <v>58</v>
      </c>
      <c r="J101" s="16">
        <v>350.0</v>
      </c>
      <c r="K101" s="17">
        <v>46191.0</v>
      </c>
      <c r="L101" s="17">
        <v>46214.0</v>
      </c>
    </row>
    <row r="102" ht="15.75" customHeight="1">
      <c r="A102" s="12" t="s">
        <v>592</v>
      </c>
      <c r="B102" s="12" t="s">
        <v>593</v>
      </c>
      <c r="C102" s="13" t="s">
        <v>594</v>
      </c>
      <c r="D102" s="12" t="s">
        <v>595</v>
      </c>
      <c r="E102" s="12" t="s">
        <v>100</v>
      </c>
      <c r="F102" s="12" t="s">
        <v>140</v>
      </c>
      <c r="G102" s="12" t="s">
        <v>39</v>
      </c>
      <c r="H102" s="12" t="s">
        <v>28</v>
      </c>
      <c r="I102" s="12" t="s">
        <v>29</v>
      </c>
      <c r="J102" s="16">
        <v>2500.0</v>
      </c>
      <c r="K102" s="17">
        <v>46131.0</v>
      </c>
      <c r="L102" s="17">
        <v>46160.0</v>
      </c>
      <c r="M102" s="8" t="s">
        <v>107</v>
      </c>
    </row>
    <row r="103" ht="15.75" customHeight="1">
      <c r="A103" s="12" t="s">
        <v>596</v>
      </c>
      <c r="B103" s="12" t="s">
        <v>369</v>
      </c>
      <c r="C103" s="13" t="s">
        <v>597</v>
      </c>
      <c r="D103" s="12" t="s">
        <v>598</v>
      </c>
      <c r="E103" s="12" t="s">
        <v>571</v>
      </c>
      <c r="F103" s="12" t="s">
        <v>47</v>
      </c>
      <c r="G103" s="12" t="s">
        <v>27</v>
      </c>
      <c r="H103" s="12" t="s">
        <v>217</v>
      </c>
      <c r="I103" s="12" t="s">
        <v>134</v>
      </c>
      <c r="J103" s="16">
        <v>2000.0</v>
      </c>
      <c r="K103" s="17">
        <v>46227.0</v>
      </c>
      <c r="L103" s="17">
        <v>46247.0</v>
      </c>
      <c r="M103" s="8" t="s">
        <v>41</v>
      </c>
    </row>
    <row r="104" ht="15.75" customHeight="1">
      <c r="A104" s="12" t="s">
        <v>599</v>
      </c>
      <c r="B104" s="12" t="s">
        <v>600</v>
      </c>
      <c r="C104" s="13" t="s">
        <v>601</v>
      </c>
      <c r="D104" s="12" t="s">
        <v>602</v>
      </c>
      <c r="E104" s="12" t="s">
        <v>603</v>
      </c>
      <c r="F104" s="12" t="s">
        <v>205</v>
      </c>
      <c r="G104" s="12" t="s">
        <v>106</v>
      </c>
      <c r="H104" s="12" t="s">
        <v>28</v>
      </c>
      <c r="I104" s="12" t="s">
        <v>65</v>
      </c>
      <c r="J104" s="16">
        <v>4500.0</v>
      </c>
      <c r="K104" s="17">
        <v>46075.0</v>
      </c>
      <c r="L104" s="17">
        <v>46099.0</v>
      </c>
      <c r="M104" s="8" t="s">
        <v>107</v>
      </c>
    </row>
    <row r="105" ht="15.75" customHeight="1">
      <c r="A105" s="12" t="s">
        <v>604</v>
      </c>
      <c r="B105" s="12" t="s">
        <v>605</v>
      </c>
      <c r="C105" s="13" t="s">
        <v>606</v>
      </c>
      <c r="D105" s="12" t="s">
        <v>607</v>
      </c>
      <c r="E105" s="12" t="s">
        <v>608</v>
      </c>
      <c r="F105" s="12" t="s">
        <v>489</v>
      </c>
      <c r="G105" s="12" t="s">
        <v>133</v>
      </c>
      <c r="H105" s="12" t="s">
        <v>28</v>
      </c>
      <c r="I105" s="12" t="s">
        <v>609</v>
      </c>
      <c r="J105" s="16">
        <v>4500.0</v>
      </c>
      <c r="K105" s="17">
        <v>46157.0</v>
      </c>
      <c r="L105" s="17">
        <v>46184.0</v>
      </c>
    </row>
    <row r="106" ht="15.75" customHeight="1">
      <c r="A106" s="12" t="s">
        <v>610</v>
      </c>
      <c r="B106" s="12" t="s">
        <v>542</v>
      </c>
      <c r="C106" s="13" t="s">
        <v>611</v>
      </c>
      <c r="D106" s="12" t="s">
        <v>612</v>
      </c>
      <c r="E106" s="12" t="s">
        <v>237</v>
      </c>
      <c r="F106" s="12" t="s">
        <v>361</v>
      </c>
      <c r="G106" s="12" t="s">
        <v>39</v>
      </c>
      <c r="H106" s="12" t="s">
        <v>40</v>
      </c>
      <c r="I106" s="12" t="s">
        <v>50</v>
      </c>
      <c r="J106" s="16">
        <v>2500.0</v>
      </c>
      <c r="K106" s="17">
        <v>46112.0</v>
      </c>
      <c r="L106" s="17">
        <v>46123.0</v>
      </c>
      <c r="M106" s="8" t="s">
        <v>30</v>
      </c>
    </row>
    <row r="107" ht="15.75" customHeight="1">
      <c r="A107" s="12" t="s">
        <v>613</v>
      </c>
      <c r="B107" s="12" t="s">
        <v>614</v>
      </c>
      <c r="C107" s="13" t="s">
        <v>615</v>
      </c>
      <c r="D107" s="12" t="s">
        <v>616</v>
      </c>
      <c r="E107" s="12" t="s">
        <v>617</v>
      </c>
      <c r="F107" s="12" t="s">
        <v>26</v>
      </c>
      <c r="G107" s="12" t="s">
        <v>106</v>
      </c>
      <c r="H107" s="12" t="s">
        <v>40</v>
      </c>
      <c r="I107" s="12" t="s">
        <v>65</v>
      </c>
      <c r="J107" s="16">
        <v>900.0</v>
      </c>
      <c r="K107" s="17">
        <v>46247.0</v>
      </c>
      <c r="L107" s="17">
        <v>46290.0</v>
      </c>
      <c r="M107" s="8" t="s">
        <v>30</v>
      </c>
    </row>
    <row r="108" ht="15.75" customHeight="1">
      <c r="A108" s="12" t="s">
        <v>618</v>
      </c>
      <c r="B108" s="12" t="s">
        <v>619</v>
      </c>
      <c r="C108" s="13" t="s">
        <v>621</v>
      </c>
      <c r="D108" s="12" t="s">
        <v>622</v>
      </c>
      <c r="E108" s="12" t="s">
        <v>453</v>
      </c>
      <c r="F108" s="12" t="s">
        <v>220</v>
      </c>
      <c r="G108" s="12" t="s">
        <v>48</v>
      </c>
      <c r="H108" s="12" t="s">
        <v>76</v>
      </c>
      <c r="I108" s="12" t="s">
        <v>77</v>
      </c>
      <c r="J108" s="16">
        <v>750.0</v>
      </c>
      <c r="K108" s="17">
        <v>46111.0</v>
      </c>
      <c r="L108" s="17">
        <v>46144.0</v>
      </c>
    </row>
    <row r="109" ht="15.75" customHeight="1">
      <c r="A109" s="12" t="s">
        <v>624</v>
      </c>
      <c r="B109" s="12" t="s">
        <v>625</v>
      </c>
      <c r="C109" s="13" t="s">
        <v>626</v>
      </c>
      <c r="D109" s="12" t="s">
        <v>627</v>
      </c>
      <c r="E109" s="12" t="s">
        <v>210</v>
      </c>
      <c r="F109" s="12" t="s">
        <v>174</v>
      </c>
      <c r="G109" s="12" t="s">
        <v>57</v>
      </c>
      <c r="H109" s="12" t="s">
        <v>40</v>
      </c>
      <c r="I109" s="12" t="s">
        <v>77</v>
      </c>
      <c r="J109" s="16">
        <v>900.0</v>
      </c>
      <c r="K109" s="17">
        <v>46087.0</v>
      </c>
      <c r="L109" s="17">
        <v>46107.0</v>
      </c>
      <c r="M109" s="8" t="s">
        <v>66</v>
      </c>
    </row>
    <row r="110" ht="15.75" customHeight="1">
      <c r="A110" s="12" t="s">
        <v>629</v>
      </c>
      <c r="B110" s="12" t="s">
        <v>630</v>
      </c>
      <c r="C110" s="13" t="s">
        <v>631</v>
      </c>
      <c r="D110" s="12" t="s">
        <v>633</v>
      </c>
      <c r="E110" s="12" t="s">
        <v>634</v>
      </c>
      <c r="F110" s="12" t="s">
        <v>38</v>
      </c>
      <c r="G110" s="12" t="s">
        <v>57</v>
      </c>
      <c r="H110" s="12" t="s">
        <v>49</v>
      </c>
      <c r="I110" s="12" t="s">
        <v>29</v>
      </c>
      <c r="J110" s="16">
        <v>3000.0</v>
      </c>
      <c r="K110" s="17">
        <v>46153.0</v>
      </c>
      <c r="L110" s="17">
        <v>46171.0</v>
      </c>
    </row>
    <row r="111" ht="15.75" customHeight="1">
      <c r="A111" s="12" t="s">
        <v>636</v>
      </c>
      <c r="B111" s="12" t="s">
        <v>637</v>
      </c>
      <c r="C111" s="13" t="s">
        <v>638</v>
      </c>
      <c r="D111" s="12" t="s">
        <v>639</v>
      </c>
      <c r="E111" s="12" t="s">
        <v>640</v>
      </c>
      <c r="F111" s="12" t="s">
        <v>454</v>
      </c>
      <c r="G111" s="12" t="s">
        <v>106</v>
      </c>
      <c r="H111" s="12" t="s">
        <v>76</v>
      </c>
      <c r="I111" s="12" t="s">
        <v>58</v>
      </c>
      <c r="J111" s="16">
        <v>1500.0</v>
      </c>
      <c r="K111" s="17">
        <v>46062.0</v>
      </c>
      <c r="L111" s="17">
        <v>46064.0</v>
      </c>
      <c r="M111" s="8" t="s">
        <v>95</v>
      </c>
    </row>
    <row r="112" ht="15.75" customHeight="1">
      <c r="A112" s="12" t="s">
        <v>642</v>
      </c>
      <c r="B112" s="12" t="s">
        <v>373</v>
      </c>
      <c r="C112" s="13" t="s">
        <v>643</v>
      </c>
      <c r="D112" s="12" t="s">
        <v>644</v>
      </c>
      <c r="E112" s="12" t="s">
        <v>645</v>
      </c>
      <c r="F112" s="12" t="s">
        <v>151</v>
      </c>
      <c r="G112" s="12" t="s">
        <v>27</v>
      </c>
      <c r="H112" s="12" t="s">
        <v>217</v>
      </c>
      <c r="I112" s="12" t="s">
        <v>77</v>
      </c>
      <c r="J112" s="16">
        <v>750.0</v>
      </c>
      <c r="K112" s="17">
        <v>46082.0</v>
      </c>
      <c r="L112" s="17">
        <v>46092.0</v>
      </c>
      <c r="M112" s="8" t="s">
        <v>95</v>
      </c>
    </row>
    <row r="113" ht="15.75" customHeight="1">
      <c r="A113" s="12" t="s">
        <v>647</v>
      </c>
      <c r="B113" s="12" t="s">
        <v>648</v>
      </c>
      <c r="C113" s="13" t="s">
        <v>649</v>
      </c>
      <c r="D113" s="12" t="s">
        <v>651</v>
      </c>
      <c r="E113" s="12" t="s">
        <v>652</v>
      </c>
      <c r="F113" s="12" t="s">
        <v>26</v>
      </c>
      <c r="G113" s="12" t="s">
        <v>39</v>
      </c>
      <c r="H113" s="12" t="s">
        <v>49</v>
      </c>
      <c r="I113" s="12" t="s">
        <v>29</v>
      </c>
      <c r="J113" s="16">
        <v>900.0</v>
      </c>
      <c r="K113" s="17">
        <v>46143.0</v>
      </c>
      <c r="L113" s="17">
        <v>46160.0</v>
      </c>
      <c r="M113" s="8" t="s">
        <v>95</v>
      </c>
    </row>
    <row r="114" ht="15.75" customHeight="1">
      <c r="A114" s="12" t="s">
        <v>654</v>
      </c>
      <c r="B114" s="12" t="s">
        <v>655</v>
      </c>
      <c r="C114" s="13" t="s">
        <v>656</v>
      </c>
      <c r="D114" s="12" t="s">
        <v>657</v>
      </c>
      <c r="E114" s="12" t="s">
        <v>414</v>
      </c>
      <c r="F114" s="12" t="s">
        <v>489</v>
      </c>
      <c r="G114" s="12" t="s">
        <v>106</v>
      </c>
      <c r="H114" s="12" t="s">
        <v>49</v>
      </c>
      <c r="I114" s="12" t="s">
        <v>134</v>
      </c>
      <c r="J114" s="16">
        <v>4500.0</v>
      </c>
      <c r="K114" s="17">
        <v>46042.0</v>
      </c>
      <c r="L114" s="17">
        <v>46042.0</v>
      </c>
      <c r="M114" s="8" t="s">
        <v>66</v>
      </c>
    </row>
    <row r="115" ht="15.75" customHeight="1">
      <c r="A115" s="12" t="s">
        <v>659</v>
      </c>
      <c r="B115" s="12" t="s">
        <v>660</v>
      </c>
      <c r="C115" s="52" t="s">
        <v>661</v>
      </c>
      <c r="D115" s="12" t="s">
        <v>663</v>
      </c>
      <c r="E115" s="12" t="s">
        <v>332</v>
      </c>
      <c r="F115" s="12" t="s">
        <v>664</v>
      </c>
      <c r="G115" s="12" t="s">
        <v>106</v>
      </c>
      <c r="H115" s="12" t="s">
        <v>40</v>
      </c>
      <c r="I115" s="12" t="s">
        <v>50</v>
      </c>
      <c r="J115" s="16">
        <v>750.0</v>
      </c>
      <c r="K115" s="17">
        <v>46264.0</v>
      </c>
      <c r="L115" s="17"/>
      <c r="M115" s="8" t="s">
        <v>95</v>
      </c>
    </row>
    <row r="116" ht="15.75" customHeight="1">
      <c r="A116" s="12" t="s">
        <v>666</v>
      </c>
      <c r="B116" s="12" t="s">
        <v>667</v>
      </c>
      <c r="C116" s="13" t="s">
        <v>668</v>
      </c>
      <c r="D116" s="12" t="s">
        <v>670</v>
      </c>
      <c r="E116" s="12" t="s">
        <v>671</v>
      </c>
      <c r="F116" s="12" t="s">
        <v>489</v>
      </c>
      <c r="G116" s="12" t="s">
        <v>48</v>
      </c>
      <c r="H116" s="12" t="s">
        <v>28</v>
      </c>
      <c r="I116" s="12" t="s">
        <v>77</v>
      </c>
      <c r="J116" s="16">
        <v>2500.0</v>
      </c>
      <c r="K116" s="17">
        <v>46119.0</v>
      </c>
      <c r="L116" s="17">
        <v>46133.0</v>
      </c>
      <c r="M116" s="8" t="s">
        <v>41</v>
      </c>
    </row>
    <row r="117" ht="15.75" customHeight="1">
      <c r="A117" s="12" t="s">
        <v>672</v>
      </c>
      <c r="B117" s="12" t="s">
        <v>673</v>
      </c>
      <c r="C117" s="13" t="s">
        <v>674</v>
      </c>
      <c r="D117" s="12" t="s">
        <v>677</v>
      </c>
      <c r="E117" s="12" t="s">
        <v>414</v>
      </c>
      <c r="F117" s="12" t="s">
        <v>538</v>
      </c>
      <c r="G117" s="12" t="s">
        <v>57</v>
      </c>
      <c r="H117" s="12" t="s">
        <v>49</v>
      </c>
      <c r="I117" s="12" t="s">
        <v>77</v>
      </c>
      <c r="J117" s="16">
        <v>500.0</v>
      </c>
      <c r="K117" s="17">
        <v>46126.0</v>
      </c>
      <c r="L117" s="17">
        <v>46164.0</v>
      </c>
      <c r="M117" s="8" t="s">
        <v>95</v>
      </c>
    </row>
    <row r="118" ht="15.75" customHeight="1">
      <c r="A118" s="12" t="s">
        <v>679</v>
      </c>
      <c r="B118" s="12" t="s">
        <v>680</v>
      </c>
      <c r="C118" s="13" t="s">
        <v>681</v>
      </c>
      <c r="D118" s="12" t="s">
        <v>682</v>
      </c>
      <c r="E118" s="12" t="s">
        <v>683</v>
      </c>
      <c r="F118" s="12" t="s">
        <v>26</v>
      </c>
      <c r="G118" s="12" t="s">
        <v>27</v>
      </c>
      <c r="H118" s="12" t="s">
        <v>217</v>
      </c>
      <c r="I118" s="12" t="s">
        <v>134</v>
      </c>
      <c r="J118" s="16">
        <v>900.0</v>
      </c>
      <c r="K118" s="17">
        <v>46194.0</v>
      </c>
      <c r="L118" s="17">
        <v>46238.0</v>
      </c>
      <c r="M118" s="8" t="s">
        <v>107</v>
      </c>
    </row>
    <row r="119" ht="15.75" customHeight="1">
      <c r="A119" s="12" t="s">
        <v>684</v>
      </c>
      <c r="B119" s="12" t="s">
        <v>685</v>
      </c>
      <c r="C119" s="13" t="s">
        <v>686</v>
      </c>
      <c r="D119" s="12" t="s">
        <v>687</v>
      </c>
      <c r="E119" s="12" t="s">
        <v>55</v>
      </c>
      <c r="F119" s="12" t="s">
        <v>38</v>
      </c>
      <c r="G119" s="12" t="s">
        <v>48</v>
      </c>
      <c r="H119" s="12" t="s">
        <v>40</v>
      </c>
      <c r="I119" s="12" t="s">
        <v>58</v>
      </c>
      <c r="J119" s="16">
        <v>1500.0</v>
      </c>
      <c r="K119" s="17">
        <v>46205.0</v>
      </c>
      <c r="L119" s="17">
        <v>46235.0</v>
      </c>
    </row>
    <row r="120" ht="15.75" customHeight="1">
      <c r="A120" s="12" t="s">
        <v>688</v>
      </c>
      <c r="B120" s="12" t="s">
        <v>689</v>
      </c>
      <c r="C120" s="13" t="s">
        <v>690</v>
      </c>
      <c r="D120" s="12" t="s">
        <v>691</v>
      </c>
      <c r="E120" s="12" t="s">
        <v>692</v>
      </c>
      <c r="F120" s="12" t="s">
        <v>82</v>
      </c>
      <c r="G120" s="12" t="s">
        <v>133</v>
      </c>
      <c r="H120" s="12" t="s">
        <v>49</v>
      </c>
      <c r="I120" s="12" t="s">
        <v>77</v>
      </c>
      <c r="J120" s="16">
        <v>350.0</v>
      </c>
      <c r="K120" s="17">
        <v>46240.0</v>
      </c>
      <c r="L120" s="17">
        <v>46276.0</v>
      </c>
      <c r="M120" s="8" t="s">
        <v>107</v>
      </c>
    </row>
    <row r="121" ht="15.75" customHeight="1">
      <c r="A121" s="12" t="s">
        <v>693</v>
      </c>
      <c r="B121" s="12" t="s">
        <v>694</v>
      </c>
      <c r="C121" s="13" t="s">
        <v>695</v>
      </c>
      <c r="D121" s="12" t="s">
        <v>696</v>
      </c>
      <c r="E121" s="12"/>
      <c r="F121" s="12" t="s">
        <v>140</v>
      </c>
      <c r="G121" s="12" t="s">
        <v>57</v>
      </c>
      <c r="H121" s="12" t="s">
        <v>40</v>
      </c>
      <c r="I121" s="12" t="s">
        <v>77</v>
      </c>
      <c r="J121" s="16">
        <v>1500.0</v>
      </c>
      <c r="K121" s="17">
        <v>46065.0</v>
      </c>
      <c r="L121" s="17">
        <v>46080.0</v>
      </c>
      <c r="M121" s="8" t="s">
        <v>41</v>
      </c>
    </row>
    <row r="122" ht="15.75" customHeight="1">
      <c r="A122" s="12" t="s">
        <v>697</v>
      </c>
      <c r="B122" s="12" t="s">
        <v>698</v>
      </c>
      <c r="C122" s="13" t="s">
        <v>699</v>
      </c>
      <c r="D122" s="12" t="s">
        <v>700</v>
      </c>
      <c r="E122" s="12" t="s">
        <v>125</v>
      </c>
      <c r="F122" s="12" t="s">
        <v>75</v>
      </c>
      <c r="G122" s="12" t="s">
        <v>48</v>
      </c>
      <c r="H122" s="12" t="s">
        <v>28</v>
      </c>
      <c r="I122" s="12" t="s">
        <v>50</v>
      </c>
      <c r="J122" s="16">
        <v>1500.0</v>
      </c>
      <c r="K122" s="17">
        <v>46078.0</v>
      </c>
      <c r="L122" s="17">
        <v>46106.0</v>
      </c>
      <c r="M122" s="8" t="s">
        <v>41</v>
      </c>
    </row>
    <row r="123" ht="15.75" customHeight="1">
      <c r="A123" s="12" t="s">
        <v>701</v>
      </c>
      <c r="B123" s="12" t="s">
        <v>702</v>
      </c>
      <c r="C123" s="13" t="s">
        <v>703</v>
      </c>
      <c r="D123" s="12" t="s">
        <v>704</v>
      </c>
      <c r="E123" s="12" t="s">
        <v>200</v>
      </c>
      <c r="F123" s="12" t="s">
        <v>201</v>
      </c>
      <c r="G123" s="12" t="s">
        <v>133</v>
      </c>
      <c r="H123" s="12" t="s">
        <v>217</v>
      </c>
      <c r="I123" s="12" t="s">
        <v>134</v>
      </c>
      <c r="J123" s="16">
        <v>1200.0</v>
      </c>
      <c r="K123" s="17">
        <v>46202.0</v>
      </c>
      <c r="L123" s="17">
        <v>46228.0</v>
      </c>
    </row>
    <row r="124" ht="15.75" customHeight="1">
      <c r="A124" s="12" t="s">
        <v>705</v>
      </c>
      <c r="B124" s="12" t="s">
        <v>706</v>
      </c>
      <c r="C124" s="13" t="s">
        <v>707</v>
      </c>
      <c r="D124" s="12" t="s">
        <v>708</v>
      </c>
      <c r="E124" s="12" t="s">
        <v>709</v>
      </c>
      <c r="F124" s="12" t="s">
        <v>132</v>
      </c>
      <c r="G124" s="12" t="s">
        <v>106</v>
      </c>
      <c r="H124" s="12" t="s">
        <v>28</v>
      </c>
      <c r="I124" s="12" t="s">
        <v>58</v>
      </c>
      <c r="J124" s="16">
        <v>500.0</v>
      </c>
      <c r="K124" s="17">
        <v>46204.0</v>
      </c>
      <c r="L124" s="17">
        <v>46204.0</v>
      </c>
    </row>
    <row r="125" ht="15.75" customHeight="1">
      <c r="A125" s="12" t="s">
        <v>710</v>
      </c>
      <c r="B125" s="12" t="s">
        <v>711</v>
      </c>
      <c r="C125" s="52"/>
      <c r="D125" s="12" t="s">
        <v>712</v>
      </c>
      <c r="E125" s="12" t="s">
        <v>713</v>
      </c>
      <c r="F125" s="12" t="s">
        <v>582</v>
      </c>
      <c r="G125" s="12" t="s">
        <v>106</v>
      </c>
      <c r="H125" s="12" t="s">
        <v>76</v>
      </c>
      <c r="I125" s="12" t="s">
        <v>134</v>
      </c>
      <c r="J125" s="16">
        <v>900.0</v>
      </c>
      <c r="K125" s="17">
        <v>46187.0</v>
      </c>
      <c r="L125" s="17">
        <v>46216.0</v>
      </c>
      <c r="M125" s="8" t="s">
        <v>107</v>
      </c>
    </row>
    <row r="126" ht="15.75" customHeight="1">
      <c r="A126" s="12" t="s">
        <v>714</v>
      </c>
      <c r="B126" s="12" t="s">
        <v>471</v>
      </c>
      <c r="C126" s="13" t="s">
        <v>715</v>
      </c>
      <c r="D126" s="12" t="s">
        <v>716</v>
      </c>
      <c r="E126" s="12" t="s">
        <v>717</v>
      </c>
      <c r="F126" s="12" t="s">
        <v>216</v>
      </c>
      <c r="G126" s="12" t="s">
        <v>57</v>
      </c>
      <c r="H126" s="12" t="s">
        <v>217</v>
      </c>
      <c r="I126" s="12" t="s">
        <v>65</v>
      </c>
      <c r="J126" s="16">
        <v>2000.0</v>
      </c>
      <c r="K126" s="17">
        <v>46178.0</v>
      </c>
      <c r="L126" s="17">
        <v>46201.0</v>
      </c>
    </row>
    <row r="127" ht="15.75" customHeight="1">
      <c r="A127" s="12" t="s">
        <v>718</v>
      </c>
      <c r="B127" s="12" t="s">
        <v>559</v>
      </c>
      <c r="C127" s="13" t="s">
        <v>719</v>
      </c>
      <c r="D127" s="12" t="s">
        <v>720</v>
      </c>
      <c r="E127" s="12" t="s">
        <v>161</v>
      </c>
      <c r="F127" s="12" t="s">
        <v>538</v>
      </c>
      <c r="G127" s="12" t="s">
        <v>133</v>
      </c>
      <c r="H127" s="12" t="s">
        <v>76</v>
      </c>
      <c r="I127" s="12" t="s">
        <v>29</v>
      </c>
      <c r="J127" s="16">
        <v>2500.0</v>
      </c>
      <c r="K127" s="17">
        <v>46071.0</v>
      </c>
      <c r="L127" s="17">
        <v>46103.0</v>
      </c>
      <c r="M127" s="8" t="s">
        <v>66</v>
      </c>
    </row>
    <row r="128" ht="15.75" customHeight="1">
      <c r="A128" s="12" t="s">
        <v>721</v>
      </c>
      <c r="B128" s="12" t="s">
        <v>722</v>
      </c>
      <c r="C128" s="13" t="s">
        <v>723</v>
      </c>
      <c r="D128" s="12" t="s">
        <v>724</v>
      </c>
      <c r="E128" s="12" t="s">
        <v>293</v>
      </c>
      <c r="F128" s="12" t="s">
        <v>38</v>
      </c>
      <c r="G128" s="12" t="s">
        <v>27</v>
      </c>
      <c r="H128" s="12" t="s">
        <v>76</v>
      </c>
      <c r="I128" s="12" t="s">
        <v>58</v>
      </c>
      <c r="J128" s="16">
        <v>4500.0</v>
      </c>
      <c r="K128" s="17">
        <v>46137.0</v>
      </c>
      <c r="L128" s="17">
        <v>46154.0</v>
      </c>
      <c r="M128" s="8" t="s">
        <v>41</v>
      </c>
    </row>
    <row r="129" ht="15.75" customHeight="1">
      <c r="A129" s="12" t="s">
        <v>725</v>
      </c>
      <c r="B129" s="12" t="s">
        <v>726</v>
      </c>
      <c r="C129" s="13" t="s">
        <v>727</v>
      </c>
      <c r="D129" s="12" t="s">
        <v>728</v>
      </c>
      <c r="E129" s="12" t="s">
        <v>419</v>
      </c>
      <c r="F129" s="12" t="s">
        <v>56</v>
      </c>
      <c r="G129" s="12" t="s">
        <v>57</v>
      </c>
      <c r="H129" s="12" t="s">
        <v>40</v>
      </c>
      <c r="I129" s="12" t="s">
        <v>50</v>
      </c>
      <c r="J129" s="16">
        <v>350.0</v>
      </c>
      <c r="K129" s="17">
        <v>46230.0</v>
      </c>
      <c r="L129" s="17"/>
      <c r="M129" s="8" t="s">
        <v>107</v>
      </c>
    </row>
    <row r="130" ht="15.75" customHeight="1">
      <c r="A130" s="12" t="s">
        <v>729</v>
      </c>
      <c r="B130" s="12" t="s">
        <v>730</v>
      </c>
      <c r="C130" s="13" t="s">
        <v>731</v>
      </c>
      <c r="D130" s="12" t="s">
        <v>732</v>
      </c>
      <c r="E130" s="12" t="s">
        <v>332</v>
      </c>
      <c r="F130" s="12" t="s">
        <v>283</v>
      </c>
      <c r="G130" s="12" t="s">
        <v>57</v>
      </c>
      <c r="H130" s="12" t="s">
        <v>49</v>
      </c>
      <c r="I130" s="12" t="s">
        <v>134</v>
      </c>
      <c r="J130" s="16">
        <v>750.0</v>
      </c>
      <c r="K130" s="17">
        <v>46139.0</v>
      </c>
      <c r="L130" s="17">
        <v>46161.0</v>
      </c>
      <c r="M130" s="8" t="s">
        <v>30</v>
      </c>
    </row>
    <row r="131" ht="15.75" customHeight="1">
      <c r="A131" s="12" t="s">
        <v>733</v>
      </c>
      <c r="B131" s="12" t="s">
        <v>279</v>
      </c>
      <c r="C131" s="13" t="s">
        <v>734</v>
      </c>
      <c r="D131" s="12" t="s">
        <v>735</v>
      </c>
      <c r="E131" s="12" t="s">
        <v>100</v>
      </c>
      <c r="F131" s="12" t="s">
        <v>38</v>
      </c>
      <c r="G131" s="12" t="s">
        <v>39</v>
      </c>
      <c r="H131" s="12" t="s">
        <v>76</v>
      </c>
      <c r="I131" s="12" t="s">
        <v>29</v>
      </c>
      <c r="J131" s="16">
        <v>750.0</v>
      </c>
      <c r="K131" s="17">
        <v>46058.0</v>
      </c>
      <c r="L131" s="17">
        <v>46091.0</v>
      </c>
    </row>
    <row r="132" ht="15.75" customHeight="1">
      <c r="A132" s="12" t="s">
        <v>736</v>
      </c>
      <c r="B132" s="12" t="s">
        <v>737</v>
      </c>
      <c r="C132" s="13" t="s">
        <v>738</v>
      </c>
      <c r="D132" s="12" t="s">
        <v>739</v>
      </c>
      <c r="E132" s="12" t="s">
        <v>740</v>
      </c>
      <c r="F132" s="12" t="s">
        <v>546</v>
      </c>
      <c r="G132" s="12" t="s">
        <v>106</v>
      </c>
      <c r="H132" s="12" t="s">
        <v>40</v>
      </c>
      <c r="I132" s="12" t="s">
        <v>58</v>
      </c>
      <c r="J132" s="16">
        <v>1200.0</v>
      </c>
      <c r="K132" s="17">
        <v>46218.0</v>
      </c>
      <c r="L132" s="17">
        <v>46221.0</v>
      </c>
      <c r="M132" s="8" t="s">
        <v>95</v>
      </c>
    </row>
    <row r="133" ht="15.75" customHeight="1">
      <c r="A133" s="12" t="s">
        <v>741</v>
      </c>
      <c r="B133" s="12" t="s">
        <v>742</v>
      </c>
      <c r="C133" s="13" t="s">
        <v>743</v>
      </c>
      <c r="D133" s="12" t="s">
        <v>744</v>
      </c>
      <c r="E133" s="12" t="s">
        <v>745</v>
      </c>
      <c r="F133" s="12" t="s">
        <v>26</v>
      </c>
      <c r="G133" s="12" t="s">
        <v>106</v>
      </c>
      <c r="H133" s="12" t="s">
        <v>49</v>
      </c>
      <c r="I133" s="12" t="s">
        <v>65</v>
      </c>
      <c r="J133" s="16">
        <v>3000.0</v>
      </c>
      <c r="K133" s="17">
        <v>46152.0</v>
      </c>
      <c r="L133" s="17">
        <v>46195.0</v>
      </c>
      <c r="M133" s="8" t="s">
        <v>66</v>
      </c>
    </row>
    <row r="134" ht="15.75" customHeight="1">
      <c r="A134" s="12" t="s">
        <v>746</v>
      </c>
      <c r="B134" s="12" t="s">
        <v>747</v>
      </c>
      <c r="C134" s="13" t="s">
        <v>748</v>
      </c>
      <c r="D134" s="12" t="s">
        <v>750</v>
      </c>
      <c r="E134" s="12" t="s">
        <v>751</v>
      </c>
      <c r="F134" s="12" t="s">
        <v>126</v>
      </c>
      <c r="G134" s="12" t="s">
        <v>27</v>
      </c>
      <c r="H134" s="12" t="s">
        <v>49</v>
      </c>
      <c r="I134" s="12" t="s">
        <v>65</v>
      </c>
      <c r="J134" s="16">
        <v>2000.0</v>
      </c>
      <c r="K134" s="17">
        <v>46144.0</v>
      </c>
      <c r="L134" s="17">
        <v>46155.0</v>
      </c>
      <c r="M134" s="8" t="s">
        <v>95</v>
      </c>
    </row>
    <row r="135" ht="15.75" customHeight="1">
      <c r="A135" s="12" t="s">
        <v>752</v>
      </c>
      <c r="B135" s="12" t="s">
        <v>753</v>
      </c>
      <c r="C135" s="13" t="s">
        <v>754</v>
      </c>
      <c r="D135" s="12" t="s">
        <v>755</v>
      </c>
      <c r="E135" s="12" t="s">
        <v>483</v>
      </c>
      <c r="F135" s="12" t="s">
        <v>211</v>
      </c>
      <c r="G135" s="12" t="s">
        <v>57</v>
      </c>
      <c r="H135" s="12" t="s">
        <v>217</v>
      </c>
      <c r="I135" s="12" t="s">
        <v>134</v>
      </c>
      <c r="J135" s="16">
        <v>1500.0</v>
      </c>
      <c r="K135" s="17">
        <v>46102.0</v>
      </c>
      <c r="L135" s="17">
        <v>46117.0</v>
      </c>
      <c r="M135" s="8" t="s">
        <v>30</v>
      </c>
    </row>
    <row r="136" ht="15.75" customHeight="1">
      <c r="A136" s="12" t="s">
        <v>756</v>
      </c>
      <c r="B136" s="12" t="s">
        <v>234</v>
      </c>
      <c r="C136" s="13" t="s">
        <v>757</v>
      </c>
      <c r="D136" s="12" t="s">
        <v>759</v>
      </c>
      <c r="E136" s="12" t="s">
        <v>760</v>
      </c>
      <c r="F136" s="12" t="s">
        <v>174</v>
      </c>
      <c r="G136" s="12" t="s">
        <v>106</v>
      </c>
      <c r="H136" s="12" t="s">
        <v>40</v>
      </c>
      <c r="I136" s="12" t="s">
        <v>29</v>
      </c>
      <c r="J136" s="16"/>
      <c r="K136" s="17">
        <v>46156.0</v>
      </c>
      <c r="L136" s="17">
        <v>46174.0</v>
      </c>
      <c r="M136" s="8" t="s">
        <v>95</v>
      </c>
    </row>
    <row r="137" ht="15.75" customHeight="1">
      <c r="A137" s="12" t="s">
        <v>764</v>
      </c>
      <c r="B137" s="12" t="s">
        <v>300</v>
      </c>
      <c r="C137" s="13" t="s">
        <v>765</v>
      </c>
      <c r="D137" s="12" t="s">
        <v>768</v>
      </c>
      <c r="E137" s="12" t="s">
        <v>769</v>
      </c>
      <c r="F137" s="12" t="s">
        <v>174</v>
      </c>
      <c r="G137" s="12" t="s">
        <v>133</v>
      </c>
      <c r="H137" s="12" t="s">
        <v>49</v>
      </c>
      <c r="I137" s="12" t="s">
        <v>77</v>
      </c>
      <c r="J137" s="16">
        <v>350.0</v>
      </c>
      <c r="K137" s="17">
        <v>46156.0</v>
      </c>
      <c r="L137" s="17">
        <v>46159.0</v>
      </c>
      <c r="M137" s="8" t="s">
        <v>30</v>
      </c>
    </row>
    <row r="138" ht="15.75" customHeight="1">
      <c r="A138" s="12" t="s">
        <v>772</v>
      </c>
      <c r="B138" s="12" t="s">
        <v>773</v>
      </c>
      <c r="C138" s="13" t="s">
        <v>774</v>
      </c>
      <c r="D138" s="12" t="s">
        <v>778</v>
      </c>
      <c r="E138" s="12" t="s">
        <v>779</v>
      </c>
      <c r="F138" s="12" t="s">
        <v>82</v>
      </c>
      <c r="G138" s="12" t="s">
        <v>48</v>
      </c>
      <c r="H138" s="12" t="s">
        <v>49</v>
      </c>
      <c r="I138" s="12" t="s">
        <v>134</v>
      </c>
      <c r="J138" s="16">
        <v>4500.0</v>
      </c>
      <c r="K138" s="17">
        <v>46155.0</v>
      </c>
      <c r="L138" s="17">
        <v>46197.0</v>
      </c>
      <c r="M138" s="8" t="s">
        <v>66</v>
      </c>
    </row>
    <row r="139" ht="15.75" customHeight="1">
      <c r="A139" s="12" t="s">
        <v>780</v>
      </c>
      <c r="B139" s="12" t="s">
        <v>781</v>
      </c>
      <c r="C139" s="13" t="s">
        <v>782</v>
      </c>
      <c r="D139" s="12" t="s">
        <v>783</v>
      </c>
      <c r="E139" s="12" t="s">
        <v>184</v>
      </c>
      <c r="F139" s="12" t="s">
        <v>489</v>
      </c>
      <c r="G139" s="12" t="s">
        <v>57</v>
      </c>
      <c r="H139" s="12" t="s">
        <v>76</v>
      </c>
      <c r="I139" s="12" t="s">
        <v>77</v>
      </c>
      <c r="J139" s="16">
        <v>500.0</v>
      </c>
      <c r="K139" s="17">
        <v>46249.0</v>
      </c>
      <c r="L139" s="17">
        <v>46259.0</v>
      </c>
    </row>
    <row r="140" ht="15.75" customHeight="1">
      <c r="A140" s="12" t="s">
        <v>784</v>
      </c>
      <c r="B140" s="12" t="s">
        <v>785</v>
      </c>
      <c r="C140" s="52"/>
      <c r="D140" s="12" t="s">
        <v>786</v>
      </c>
      <c r="E140" s="12" t="s">
        <v>562</v>
      </c>
      <c r="F140" s="12" t="s">
        <v>205</v>
      </c>
      <c r="G140" s="12" t="s">
        <v>106</v>
      </c>
      <c r="H140" s="12" t="s">
        <v>40</v>
      </c>
      <c r="I140" s="12" t="s">
        <v>50</v>
      </c>
      <c r="J140" s="16">
        <v>1200.0</v>
      </c>
      <c r="K140" s="17">
        <v>46226.0</v>
      </c>
      <c r="L140" s="17">
        <v>46259.0</v>
      </c>
      <c r="M140" s="8" t="s">
        <v>107</v>
      </c>
    </row>
    <row r="141" ht="15.75" customHeight="1">
      <c r="A141" s="12" t="s">
        <v>787</v>
      </c>
      <c r="B141" s="12" t="s">
        <v>219</v>
      </c>
      <c r="C141" s="13" t="s">
        <v>788</v>
      </c>
      <c r="D141" s="12" t="s">
        <v>789</v>
      </c>
      <c r="E141" s="12" t="s">
        <v>462</v>
      </c>
      <c r="F141" s="12" t="s">
        <v>140</v>
      </c>
      <c r="G141" s="12" t="s">
        <v>57</v>
      </c>
      <c r="H141" s="12" t="s">
        <v>49</v>
      </c>
      <c r="I141" s="12" t="s">
        <v>58</v>
      </c>
      <c r="J141" s="16"/>
      <c r="K141" s="17">
        <v>46208.0</v>
      </c>
      <c r="L141" s="17">
        <v>46245.0</v>
      </c>
      <c r="M141" s="8" t="s">
        <v>30</v>
      </c>
    </row>
    <row r="142" ht="15.75" customHeight="1">
      <c r="A142" s="12" t="s">
        <v>790</v>
      </c>
      <c r="B142" s="12" t="s">
        <v>791</v>
      </c>
      <c r="C142" s="13" t="s">
        <v>792</v>
      </c>
      <c r="D142" s="12" t="s">
        <v>793</v>
      </c>
      <c r="E142" s="12" t="s">
        <v>228</v>
      </c>
      <c r="F142" s="12" t="s">
        <v>216</v>
      </c>
      <c r="G142" s="12" t="s">
        <v>133</v>
      </c>
      <c r="H142" s="12" t="s">
        <v>40</v>
      </c>
      <c r="I142" s="12" t="s">
        <v>65</v>
      </c>
      <c r="J142" s="16"/>
      <c r="K142" s="17">
        <v>46226.0</v>
      </c>
      <c r="L142" s="17">
        <v>46238.0</v>
      </c>
      <c r="M142" s="8" t="s">
        <v>30</v>
      </c>
    </row>
    <row r="143" ht="15.75" customHeight="1">
      <c r="A143" s="12" t="s">
        <v>794</v>
      </c>
      <c r="B143" s="12" t="s">
        <v>795</v>
      </c>
      <c r="C143" s="13" t="s">
        <v>796</v>
      </c>
      <c r="D143" s="12" t="s">
        <v>797</v>
      </c>
      <c r="E143" s="12" t="s">
        <v>332</v>
      </c>
      <c r="F143" s="12" t="s">
        <v>132</v>
      </c>
      <c r="G143" s="12" t="s">
        <v>57</v>
      </c>
      <c r="H143" s="12" t="s">
        <v>217</v>
      </c>
      <c r="I143" s="12" t="s">
        <v>65</v>
      </c>
      <c r="J143" s="16">
        <v>750.0</v>
      </c>
      <c r="K143" s="17">
        <v>46198.0</v>
      </c>
      <c r="L143" s="17">
        <v>46236.0</v>
      </c>
      <c r="M143" s="8" t="s">
        <v>41</v>
      </c>
    </row>
    <row r="144" ht="15.75" customHeight="1">
      <c r="A144" s="12" t="s">
        <v>798</v>
      </c>
      <c r="B144" s="12" t="s">
        <v>799</v>
      </c>
      <c r="C144" s="13" t="s">
        <v>800</v>
      </c>
      <c r="D144" s="12" t="s">
        <v>801</v>
      </c>
      <c r="E144" s="12" t="s">
        <v>145</v>
      </c>
      <c r="F144" s="12" t="s">
        <v>88</v>
      </c>
      <c r="G144" s="12" t="s">
        <v>27</v>
      </c>
      <c r="H144" s="12" t="s">
        <v>49</v>
      </c>
      <c r="I144" s="12" t="s">
        <v>304</v>
      </c>
      <c r="J144" s="16">
        <v>4500.0</v>
      </c>
      <c r="K144" s="17">
        <v>46085.0</v>
      </c>
      <c r="L144" s="17">
        <v>46111.0</v>
      </c>
      <c r="M144" s="8" t="s">
        <v>66</v>
      </c>
    </row>
    <row r="145" ht="15.75" customHeight="1">
      <c r="A145" s="12" t="s">
        <v>802</v>
      </c>
      <c r="B145" s="12" t="s">
        <v>803</v>
      </c>
      <c r="C145" s="13" t="s">
        <v>804</v>
      </c>
      <c r="D145" s="12" t="s">
        <v>805</v>
      </c>
      <c r="E145" s="12" t="s">
        <v>112</v>
      </c>
      <c r="F145" s="12" t="s">
        <v>538</v>
      </c>
      <c r="G145" s="12" t="s">
        <v>133</v>
      </c>
      <c r="H145" s="12" t="s">
        <v>76</v>
      </c>
      <c r="I145" s="12" t="s">
        <v>65</v>
      </c>
      <c r="J145" s="16">
        <v>350.0</v>
      </c>
      <c r="K145" s="17">
        <v>46089.0</v>
      </c>
      <c r="L145" s="17">
        <v>46098.0</v>
      </c>
      <c r="M145" s="8" t="s">
        <v>41</v>
      </c>
    </row>
    <row r="146" ht="15.75" customHeight="1">
      <c r="A146" s="12" t="s">
        <v>806</v>
      </c>
      <c r="B146" s="12" t="s">
        <v>807</v>
      </c>
      <c r="C146" s="52" t="s">
        <v>808</v>
      </c>
      <c r="D146" s="12" t="s">
        <v>809</v>
      </c>
      <c r="E146" s="12" t="s">
        <v>215</v>
      </c>
      <c r="F146" s="12" t="s">
        <v>88</v>
      </c>
      <c r="G146" s="12" t="s">
        <v>133</v>
      </c>
      <c r="H146" s="12" t="s">
        <v>49</v>
      </c>
      <c r="I146" s="12"/>
      <c r="J146" s="16">
        <v>2500.0</v>
      </c>
      <c r="K146" s="17">
        <v>46228.0</v>
      </c>
      <c r="L146" s="17">
        <v>46239.0</v>
      </c>
      <c r="M146" s="8" t="s">
        <v>41</v>
      </c>
    </row>
    <row r="147" ht="15.75" customHeight="1">
      <c r="A147" s="12" t="s">
        <v>810</v>
      </c>
      <c r="B147" s="12" t="s">
        <v>811</v>
      </c>
      <c r="C147" s="52"/>
      <c r="D147" s="12" t="s">
        <v>812</v>
      </c>
      <c r="E147" s="12" t="s">
        <v>173</v>
      </c>
      <c r="F147" s="12" t="s">
        <v>664</v>
      </c>
      <c r="G147" s="12" t="s">
        <v>27</v>
      </c>
      <c r="H147" s="12" t="s">
        <v>49</v>
      </c>
      <c r="I147" s="12" t="s">
        <v>50</v>
      </c>
      <c r="J147" s="16">
        <v>2000.0</v>
      </c>
      <c r="K147" s="17">
        <v>46227.0</v>
      </c>
      <c r="L147" s="17">
        <v>46240.0</v>
      </c>
      <c r="M147" s="8" t="s">
        <v>30</v>
      </c>
    </row>
    <row r="148" ht="15.75" customHeight="1">
      <c r="A148" s="12" t="s">
        <v>813</v>
      </c>
      <c r="B148" s="12" t="s">
        <v>667</v>
      </c>
      <c r="C148" s="13" t="s">
        <v>814</v>
      </c>
      <c r="D148" s="12" t="s">
        <v>815</v>
      </c>
      <c r="E148" s="12" t="s">
        <v>816</v>
      </c>
      <c r="F148" s="12" t="s">
        <v>132</v>
      </c>
      <c r="G148" s="12" t="s">
        <v>57</v>
      </c>
      <c r="H148" s="12" t="s">
        <v>28</v>
      </c>
      <c r="I148" s="12" t="s">
        <v>65</v>
      </c>
      <c r="J148" s="16">
        <v>4500.0</v>
      </c>
      <c r="K148" s="17">
        <v>46116.0</v>
      </c>
      <c r="L148" s="17">
        <v>46135.0</v>
      </c>
      <c r="M148" s="8" t="s">
        <v>66</v>
      </c>
    </row>
    <row r="149" ht="15.75" customHeight="1">
      <c r="A149" s="12" t="s">
        <v>817</v>
      </c>
      <c r="B149" s="12" t="s">
        <v>818</v>
      </c>
      <c r="C149" s="13" t="s">
        <v>819</v>
      </c>
      <c r="D149" s="12" t="s">
        <v>820</v>
      </c>
      <c r="E149" s="12" t="s">
        <v>173</v>
      </c>
      <c r="F149" s="12" t="s">
        <v>151</v>
      </c>
      <c r="G149" s="12" t="s">
        <v>27</v>
      </c>
      <c r="H149" s="12" t="s">
        <v>28</v>
      </c>
      <c r="I149" s="12" t="s">
        <v>77</v>
      </c>
      <c r="J149" s="16">
        <v>2500.0</v>
      </c>
      <c r="K149" s="17">
        <v>46046.0</v>
      </c>
      <c r="L149" s="17">
        <v>46051.0</v>
      </c>
      <c r="M149" s="8" t="s">
        <v>41</v>
      </c>
    </row>
    <row r="150" ht="15.75" customHeight="1">
      <c r="A150" s="12" t="s">
        <v>821</v>
      </c>
      <c r="B150" s="12" t="s">
        <v>822</v>
      </c>
      <c r="C150" s="13" t="s">
        <v>823</v>
      </c>
      <c r="D150" s="12" t="s">
        <v>824</v>
      </c>
      <c r="E150" s="12" t="s">
        <v>509</v>
      </c>
      <c r="F150" s="12" t="s">
        <v>175</v>
      </c>
      <c r="G150" s="12" t="s">
        <v>27</v>
      </c>
      <c r="H150" s="12" t="s">
        <v>217</v>
      </c>
      <c r="I150" s="12" t="s">
        <v>134</v>
      </c>
      <c r="J150" s="16">
        <v>900.0</v>
      </c>
      <c r="K150" s="17">
        <v>46123.0</v>
      </c>
      <c r="L150" s="17">
        <v>46126.0</v>
      </c>
      <c r="M150" s="8" t="s">
        <v>41</v>
      </c>
    </row>
    <row r="151" ht="15.75" customHeight="1">
      <c r="A151" s="12" t="s">
        <v>825</v>
      </c>
      <c r="B151" s="12" t="s">
        <v>441</v>
      </c>
      <c r="C151" s="13" t="s">
        <v>826</v>
      </c>
      <c r="D151" s="12" t="s">
        <v>827</v>
      </c>
      <c r="E151" s="12"/>
      <c r="F151" s="12" t="s">
        <v>126</v>
      </c>
      <c r="G151" s="12" t="s">
        <v>39</v>
      </c>
      <c r="H151" s="12" t="s">
        <v>28</v>
      </c>
      <c r="I151" s="12" t="s">
        <v>65</v>
      </c>
      <c r="J151" s="16">
        <v>350.0</v>
      </c>
      <c r="K151" s="17">
        <v>46212.0</v>
      </c>
      <c r="L151" s="17">
        <v>46252.0</v>
      </c>
      <c r="M151" s="8" t="s">
        <v>95</v>
      </c>
    </row>
    <row r="152" ht="15.75" customHeight="1">
      <c r="A152" s="12" t="s">
        <v>828</v>
      </c>
      <c r="B152" s="12" t="s">
        <v>829</v>
      </c>
      <c r="C152" s="13" t="s">
        <v>830</v>
      </c>
      <c r="D152" s="12" t="s">
        <v>831</v>
      </c>
      <c r="E152" s="12" t="s">
        <v>832</v>
      </c>
      <c r="F152" s="12" t="s">
        <v>168</v>
      </c>
      <c r="G152" s="12" t="s">
        <v>106</v>
      </c>
      <c r="H152" s="12" t="s">
        <v>76</v>
      </c>
      <c r="I152" s="12" t="s">
        <v>304</v>
      </c>
      <c r="J152" s="16">
        <v>500.0</v>
      </c>
      <c r="K152" s="17">
        <v>46028.0</v>
      </c>
      <c r="L152" s="17">
        <v>46040.0</v>
      </c>
      <c r="M152" s="8" t="s">
        <v>107</v>
      </c>
    </row>
    <row r="153" ht="15.75" customHeight="1">
      <c r="A153" s="12" t="s">
        <v>833</v>
      </c>
      <c r="B153" s="12" t="s">
        <v>834</v>
      </c>
      <c r="C153" s="13" t="s">
        <v>835</v>
      </c>
      <c r="D153" s="12" t="s">
        <v>836</v>
      </c>
      <c r="E153" s="12" t="s">
        <v>190</v>
      </c>
      <c r="F153" s="12" t="s">
        <v>283</v>
      </c>
      <c r="G153" s="12" t="s">
        <v>106</v>
      </c>
      <c r="H153" s="12" t="s">
        <v>217</v>
      </c>
      <c r="I153" s="12" t="s">
        <v>77</v>
      </c>
      <c r="J153" s="16">
        <v>1500.0</v>
      </c>
      <c r="K153" s="17">
        <v>46104.0</v>
      </c>
      <c r="L153" s="17">
        <v>46135.0</v>
      </c>
      <c r="M153" s="8" t="s">
        <v>95</v>
      </c>
    </row>
    <row r="154" ht="15.75" customHeight="1">
      <c r="A154" s="12" t="s">
        <v>837</v>
      </c>
      <c r="B154" s="12" t="s">
        <v>737</v>
      </c>
      <c r="C154" s="13" t="s">
        <v>838</v>
      </c>
      <c r="D154" s="12" t="s">
        <v>839</v>
      </c>
      <c r="E154" s="12" t="s">
        <v>840</v>
      </c>
      <c r="F154" s="12" t="s">
        <v>175</v>
      </c>
      <c r="G154" s="12" t="s">
        <v>106</v>
      </c>
      <c r="H154" s="12" t="s">
        <v>217</v>
      </c>
      <c r="I154" s="12" t="s">
        <v>58</v>
      </c>
      <c r="J154" s="16">
        <v>500.0</v>
      </c>
      <c r="K154" s="17">
        <v>46034.0</v>
      </c>
      <c r="L154" s="17">
        <v>46042.0</v>
      </c>
      <c r="M154" s="8" t="s">
        <v>66</v>
      </c>
    </row>
    <row r="155" ht="15.75" customHeight="1">
      <c r="A155" s="12" t="s">
        <v>841</v>
      </c>
      <c r="B155" s="12" t="s">
        <v>842</v>
      </c>
      <c r="C155" s="13" t="s">
        <v>843</v>
      </c>
      <c r="D155" s="12" t="s">
        <v>844</v>
      </c>
      <c r="E155" s="12" t="s">
        <v>259</v>
      </c>
      <c r="F155" s="12" t="s">
        <v>174</v>
      </c>
      <c r="G155" s="12" t="s">
        <v>106</v>
      </c>
      <c r="H155" s="12" t="s">
        <v>40</v>
      </c>
      <c r="I155" s="12" t="s">
        <v>50</v>
      </c>
      <c r="J155" s="16">
        <v>1500.0</v>
      </c>
      <c r="K155" s="17">
        <v>46068.0</v>
      </c>
      <c r="L155" s="17">
        <v>46087.0</v>
      </c>
    </row>
    <row r="156" ht="15.75" customHeight="1">
      <c r="A156" s="12" t="s">
        <v>845</v>
      </c>
      <c r="B156" s="12" t="s">
        <v>846</v>
      </c>
      <c r="C156" s="13" t="s">
        <v>847</v>
      </c>
      <c r="D156" s="12" t="s">
        <v>848</v>
      </c>
      <c r="E156" s="12" t="s">
        <v>25</v>
      </c>
      <c r="F156" s="12" t="s">
        <v>82</v>
      </c>
      <c r="G156" s="12" t="s">
        <v>133</v>
      </c>
      <c r="H156" s="12" t="s">
        <v>49</v>
      </c>
      <c r="I156" s="12" t="s">
        <v>77</v>
      </c>
      <c r="J156" s="16">
        <v>750.0</v>
      </c>
      <c r="K156" s="17">
        <v>46137.0</v>
      </c>
      <c r="L156" s="17">
        <v>46153.0</v>
      </c>
      <c r="M156" s="8" t="s">
        <v>107</v>
      </c>
    </row>
    <row r="157" ht="15.75" customHeight="1">
      <c r="A157" s="12" t="s">
        <v>849</v>
      </c>
      <c r="B157" s="12" t="s">
        <v>517</v>
      </c>
      <c r="C157" s="13" t="s">
        <v>850</v>
      </c>
      <c r="D157" s="12" t="s">
        <v>851</v>
      </c>
      <c r="E157" s="12" t="s">
        <v>852</v>
      </c>
      <c r="F157" s="12" t="s">
        <v>168</v>
      </c>
      <c r="G157" s="12" t="s">
        <v>27</v>
      </c>
      <c r="H157" s="12" t="s">
        <v>28</v>
      </c>
      <c r="I157" s="12" t="s">
        <v>134</v>
      </c>
      <c r="J157" s="16">
        <v>2500.0</v>
      </c>
      <c r="K157" s="17">
        <v>46189.0</v>
      </c>
      <c r="L157" s="17">
        <v>46223.0</v>
      </c>
      <c r="M157" s="8" t="s">
        <v>95</v>
      </c>
    </row>
    <row r="158" ht="15.75" customHeight="1">
      <c r="A158" s="12" t="s">
        <v>853</v>
      </c>
      <c r="B158" s="12" t="s">
        <v>854</v>
      </c>
      <c r="C158" s="13" t="s">
        <v>855</v>
      </c>
      <c r="D158" s="12" t="s">
        <v>856</v>
      </c>
      <c r="E158" s="12" t="s">
        <v>857</v>
      </c>
      <c r="F158" s="12" t="s">
        <v>132</v>
      </c>
      <c r="G158" s="12" t="s">
        <v>39</v>
      </c>
      <c r="H158" s="12" t="s">
        <v>28</v>
      </c>
      <c r="I158" s="12" t="s">
        <v>134</v>
      </c>
      <c r="J158" s="16">
        <v>900.0</v>
      </c>
      <c r="K158" s="17">
        <v>46040.0</v>
      </c>
      <c r="L158" s="17">
        <v>46078.0</v>
      </c>
      <c r="M158" s="8" t="s">
        <v>30</v>
      </c>
    </row>
    <row r="159" ht="15.75" customHeight="1">
      <c r="A159" s="12" t="s">
        <v>858</v>
      </c>
      <c r="B159" s="12" t="s">
        <v>859</v>
      </c>
      <c r="C159" s="13" t="s">
        <v>860</v>
      </c>
      <c r="D159" s="12" t="s">
        <v>861</v>
      </c>
      <c r="E159" s="12" t="s">
        <v>131</v>
      </c>
      <c r="F159" s="12" t="s">
        <v>174</v>
      </c>
      <c r="G159" s="12" t="s">
        <v>106</v>
      </c>
      <c r="H159" s="12" t="s">
        <v>49</v>
      </c>
      <c r="I159" s="12" t="s">
        <v>58</v>
      </c>
      <c r="J159" s="16">
        <v>4500.0</v>
      </c>
      <c r="K159" s="17">
        <v>46260.0</v>
      </c>
      <c r="L159" s="17">
        <v>46272.0</v>
      </c>
      <c r="M159" s="8" t="s">
        <v>30</v>
      </c>
    </row>
    <row r="160" ht="15.75" customHeight="1">
      <c r="A160" s="12" t="s">
        <v>862</v>
      </c>
      <c r="B160" s="12" t="s">
        <v>863</v>
      </c>
      <c r="C160" s="13" t="s">
        <v>864</v>
      </c>
      <c r="D160" s="12"/>
      <c r="E160" s="12" t="s">
        <v>865</v>
      </c>
      <c r="F160" s="12" t="s">
        <v>168</v>
      </c>
      <c r="G160" s="12" t="s">
        <v>106</v>
      </c>
      <c r="H160" s="12" t="s">
        <v>49</v>
      </c>
      <c r="I160" s="12" t="s">
        <v>134</v>
      </c>
      <c r="J160" s="16"/>
      <c r="K160" s="17">
        <v>46173.0</v>
      </c>
      <c r="L160" s="17">
        <v>46215.0</v>
      </c>
      <c r="M160" s="8" t="s">
        <v>30</v>
      </c>
    </row>
    <row r="161" ht="15.75" customHeight="1">
      <c r="A161" s="12" t="s">
        <v>866</v>
      </c>
      <c r="B161" s="12" t="s">
        <v>867</v>
      </c>
      <c r="C161" s="13" t="s">
        <v>868</v>
      </c>
      <c r="D161" s="12" t="s">
        <v>869</v>
      </c>
      <c r="E161" s="12" t="s">
        <v>852</v>
      </c>
      <c r="F161" s="12" t="s">
        <v>220</v>
      </c>
      <c r="G161" s="12" t="s">
        <v>27</v>
      </c>
      <c r="H161" s="12" t="s">
        <v>217</v>
      </c>
      <c r="I161" s="12" t="s">
        <v>58</v>
      </c>
      <c r="J161" s="16">
        <v>2000.0</v>
      </c>
      <c r="K161" s="17">
        <v>46114.0</v>
      </c>
      <c r="L161" s="17">
        <v>46148.0</v>
      </c>
    </row>
    <row r="162" ht="15.75" customHeight="1">
      <c r="A162" s="12" t="s">
        <v>870</v>
      </c>
      <c r="B162" s="12" t="s">
        <v>871</v>
      </c>
      <c r="C162" s="13" t="s">
        <v>872</v>
      </c>
      <c r="D162" s="12" t="s">
        <v>873</v>
      </c>
      <c r="E162" s="12" t="s">
        <v>419</v>
      </c>
      <c r="F162" s="12" t="s">
        <v>64</v>
      </c>
      <c r="G162" s="12" t="s">
        <v>48</v>
      </c>
      <c r="H162" s="12" t="s">
        <v>217</v>
      </c>
      <c r="I162" s="12" t="s">
        <v>77</v>
      </c>
      <c r="J162" s="16">
        <v>350.0</v>
      </c>
      <c r="K162" s="17">
        <v>46137.0</v>
      </c>
      <c r="L162" s="17">
        <v>46158.0</v>
      </c>
      <c r="M162" s="8" t="s">
        <v>66</v>
      </c>
    </row>
    <row r="163" ht="15.75" customHeight="1">
      <c r="A163" s="12" t="s">
        <v>874</v>
      </c>
      <c r="B163" s="12" t="s">
        <v>875</v>
      </c>
      <c r="C163" s="52" t="s">
        <v>876</v>
      </c>
      <c r="D163" s="12" t="s">
        <v>878</v>
      </c>
      <c r="E163" s="12" t="s">
        <v>879</v>
      </c>
      <c r="F163" s="12" t="s">
        <v>211</v>
      </c>
      <c r="G163" s="12" t="s">
        <v>48</v>
      </c>
      <c r="H163" s="12" t="s">
        <v>40</v>
      </c>
      <c r="I163" s="12" t="s">
        <v>50</v>
      </c>
      <c r="J163" s="16">
        <v>1200.0</v>
      </c>
      <c r="K163" s="17">
        <v>46047.0</v>
      </c>
      <c r="L163" s="17">
        <v>46067.0</v>
      </c>
      <c r="M163" s="8" t="s">
        <v>107</v>
      </c>
    </row>
    <row r="164" ht="15.75" customHeight="1">
      <c r="A164" s="12" t="s">
        <v>880</v>
      </c>
      <c r="B164" s="12" t="s">
        <v>881</v>
      </c>
      <c r="C164" s="13" t="s">
        <v>882</v>
      </c>
      <c r="D164" s="12" t="s">
        <v>883</v>
      </c>
      <c r="E164" s="12" t="s">
        <v>576</v>
      </c>
      <c r="F164" s="12" t="s">
        <v>211</v>
      </c>
      <c r="G164" s="12" t="s">
        <v>57</v>
      </c>
      <c r="H164" s="12" t="s">
        <v>28</v>
      </c>
      <c r="I164" s="12" t="s">
        <v>609</v>
      </c>
      <c r="J164" s="16">
        <v>350.0</v>
      </c>
      <c r="K164" s="17">
        <v>46043.0</v>
      </c>
      <c r="L164" s="17">
        <v>46081.0</v>
      </c>
      <c r="M164" s="8" t="s">
        <v>41</v>
      </c>
    </row>
    <row r="165" ht="15.75" customHeight="1">
      <c r="A165" s="12" t="s">
        <v>884</v>
      </c>
      <c r="B165" s="12" t="s">
        <v>885</v>
      </c>
      <c r="C165" s="13" t="s">
        <v>886</v>
      </c>
      <c r="D165" s="12" t="s">
        <v>887</v>
      </c>
      <c r="E165" s="12" t="s">
        <v>554</v>
      </c>
      <c r="F165" s="12" t="s">
        <v>26</v>
      </c>
      <c r="G165" s="12" t="s">
        <v>39</v>
      </c>
      <c r="H165" s="12" t="s">
        <v>76</v>
      </c>
      <c r="I165" s="12" t="s">
        <v>58</v>
      </c>
      <c r="J165" s="16"/>
      <c r="K165" s="17">
        <v>46219.0</v>
      </c>
      <c r="L165" s="17">
        <v>46261.0</v>
      </c>
      <c r="M165" s="8" t="s">
        <v>41</v>
      </c>
    </row>
    <row r="166" ht="15.75" customHeight="1">
      <c r="A166" s="12" t="s">
        <v>888</v>
      </c>
      <c r="B166" s="12" t="s">
        <v>889</v>
      </c>
      <c r="C166" s="13" t="s">
        <v>890</v>
      </c>
      <c r="D166" s="12" t="s">
        <v>891</v>
      </c>
      <c r="E166" s="12" t="s">
        <v>892</v>
      </c>
      <c r="F166" s="12" t="s">
        <v>162</v>
      </c>
      <c r="G166" s="12" t="s">
        <v>57</v>
      </c>
      <c r="H166" s="12" t="s">
        <v>28</v>
      </c>
      <c r="I166" s="12" t="s">
        <v>134</v>
      </c>
      <c r="J166" s="16"/>
      <c r="K166" s="17">
        <v>46233.0</v>
      </c>
      <c r="L166" s="17">
        <v>46254.0</v>
      </c>
      <c r="M166" s="8" t="s">
        <v>66</v>
      </c>
    </row>
    <row r="167" ht="15.75" customHeight="1">
      <c r="A167" s="12" t="s">
        <v>893</v>
      </c>
      <c r="B167" s="12" t="s">
        <v>894</v>
      </c>
      <c r="C167" s="13" t="s">
        <v>895</v>
      </c>
      <c r="D167" s="12" t="s">
        <v>896</v>
      </c>
      <c r="E167" s="12" t="s">
        <v>897</v>
      </c>
      <c r="F167" s="12" t="s">
        <v>75</v>
      </c>
      <c r="G167" s="12" t="s">
        <v>27</v>
      </c>
      <c r="H167" s="12" t="s">
        <v>49</v>
      </c>
      <c r="I167" s="12" t="s">
        <v>134</v>
      </c>
      <c r="J167" s="16">
        <v>4500.0</v>
      </c>
      <c r="K167" s="17">
        <v>46212.0</v>
      </c>
      <c r="L167" s="17">
        <v>46257.0</v>
      </c>
    </row>
    <row r="168" ht="15.75" customHeight="1">
      <c r="A168" s="12" t="s">
        <v>898</v>
      </c>
      <c r="B168" s="12" t="s">
        <v>899</v>
      </c>
      <c r="C168" s="13" t="s">
        <v>900</v>
      </c>
      <c r="D168" s="12" t="s">
        <v>901</v>
      </c>
      <c r="E168" s="12" t="s">
        <v>228</v>
      </c>
      <c r="F168" s="12" t="s">
        <v>75</v>
      </c>
      <c r="G168" s="12" t="s">
        <v>106</v>
      </c>
      <c r="H168" s="12" t="s">
        <v>49</v>
      </c>
      <c r="I168" s="12" t="s">
        <v>29</v>
      </c>
      <c r="J168" s="16">
        <v>1200.0</v>
      </c>
      <c r="K168" s="17">
        <v>46130.0</v>
      </c>
      <c r="L168" s="17">
        <v>46169.0</v>
      </c>
      <c r="M168" s="8" t="s">
        <v>30</v>
      </c>
    </row>
    <row r="169" ht="15.75" customHeight="1">
      <c r="A169" s="12" t="s">
        <v>902</v>
      </c>
      <c r="B169" s="12" t="s">
        <v>903</v>
      </c>
      <c r="C169" s="13" t="s">
        <v>904</v>
      </c>
      <c r="D169" s="12"/>
      <c r="E169" s="12" t="s">
        <v>325</v>
      </c>
      <c r="F169" s="12" t="s">
        <v>538</v>
      </c>
      <c r="G169" s="12" t="s">
        <v>27</v>
      </c>
      <c r="H169" s="12" t="s">
        <v>28</v>
      </c>
      <c r="I169" s="12" t="s">
        <v>77</v>
      </c>
      <c r="J169" s="16">
        <v>750.0</v>
      </c>
      <c r="K169" s="17">
        <v>46255.0</v>
      </c>
      <c r="L169" s="17">
        <v>46264.0</v>
      </c>
    </row>
    <row r="170" ht="15.75" customHeight="1">
      <c r="A170" s="12" t="s">
        <v>905</v>
      </c>
      <c r="B170" s="12" t="s">
        <v>906</v>
      </c>
      <c r="C170" s="13" t="s">
        <v>907</v>
      </c>
      <c r="D170" s="12" t="s">
        <v>908</v>
      </c>
      <c r="E170" s="12" t="s">
        <v>909</v>
      </c>
      <c r="F170" s="12" t="s">
        <v>211</v>
      </c>
      <c r="G170" s="12" t="s">
        <v>106</v>
      </c>
      <c r="H170" s="12" t="s">
        <v>40</v>
      </c>
      <c r="I170" s="12" t="s">
        <v>29</v>
      </c>
      <c r="J170" s="16">
        <v>750.0</v>
      </c>
      <c r="K170" s="17">
        <v>46127.0</v>
      </c>
      <c r="L170" s="17">
        <v>46168.0</v>
      </c>
    </row>
    <row r="171" ht="15.75" customHeight="1">
      <c r="A171" s="12" t="s">
        <v>910</v>
      </c>
      <c r="B171" s="12" t="s">
        <v>911</v>
      </c>
      <c r="C171" s="13" t="s">
        <v>912</v>
      </c>
      <c r="D171" s="12" t="s">
        <v>913</v>
      </c>
      <c r="E171" s="12" t="s">
        <v>760</v>
      </c>
      <c r="F171" s="12" t="s">
        <v>248</v>
      </c>
      <c r="G171" s="12" t="s">
        <v>27</v>
      </c>
      <c r="H171" s="12" t="s">
        <v>40</v>
      </c>
      <c r="I171" s="12" t="s">
        <v>77</v>
      </c>
      <c r="J171" s="16">
        <v>2000.0</v>
      </c>
      <c r="K171" s="17">
        <v>46238.0</v>
      </c>
      <c r="L171" s="17">
        <v>46263.0</v>
      </c>
      <c r="M171" s="8" t="s">
        <v>66</v>
      </c>
    </row>
    <row r="172" ht="15.75" customHeight="1">
      <c r="A172" s="12" t="s">
        <v>914</v>
      </c>
      <c r="B172" s="12" t="s">
        <v>915</v>
      </c>
      <c r="C172" s="13" t="s">
        <v>916</v>
      </c>
      <c r="D172" s="12" t="s">
        <v>917</v>
      </c>
      <c r="E172" s="12" t="s">
        <v>266</v>
      </c>
      <c r="F172" s="12" t="s">
        <v>664</v>
      </c>
      <c r="G172" s="12" t="s">
        <v>39</v>
      </c>
      <c r="H172" s="12" t="s">
        <v>40</v>
      </c>
      <c r="I172" s="12" t="s">
        <v>58</v>
      </c>
      <c r="J172" s="16">
        <v>750.0</v>
      </c>
      <c r="K172" s="17">
        <v>46100.0</v>
      </c>
      <c r="L172" s="17">
        <v>46104.0</v>
      </c>
      <c r="M172" s="8" t="s">
        <v>41</v>
      </c>
    </row>
    <row r="173" ht="15.75" customHeight="1">
      <c r="A173" s="12" t="s">
        <v>918</v>
      </c>
      <c r="B173" s="12" t="s">
        <v>863</v>
      </c>
      <c r="C173" s="52" t="s">
        <v>919</v>
      </c>
      <c r="D173" s="12" t="s">
        <v>920</v>
      </c>
      <c r="E173" s="12" t="s">
        <v>223</v>
      </c>
      <c r="F173" s="12" t="s">
        <v>56</v>
      </c>
      <c r="G173" s="12" t="s">
        <v>57</v>
      </c>
      <c r="H173" s="12" t="s">
        <v>49</v>
      </c>
      <c r="I173" s="12" t="s">
        <v>65</v>
      </c>
      <c r="J173" s="16">
        <v>3000.0</v>
      </c>
      <c r="K173" s="17">
        <v>46053.0</v>
      </c>
      <c r="L173" s="17"/>
      <c r="M173" s="8" t="s">
        <v>30</v>
      </c>
    </row>
    <row r="174" ht="15.75" customHeight="1">
      <c r="A174" s="12" t="s">
        <v>921</v>
      </c>
      <c r="B174" s="12" t="s">
        <v>922</v>
      </c>
      <c r="C174" s="13" t="s">
        <v>923</v>
      </c>
      <c r="D174" s="12" t="s">
        <v>924</v>
      </c>
      <c r="E174" s="12" t="s">
        <v>400</v>
      </c>
      <c r="F174" s="12" t="s">
        <v>38</v>
      </c>
      <c r="G174" s="12" t="s">
        <v>57</v>
      </c>
      <c r="H174" s="12" t="s">
        <v>217</v>
      </c>
      <c r="I174" s="12" t="s">
        <v>77</v>
      </c>
      <c r="J174" s="16">
        <v>2000.0</v>
      </c>
      <c r="K174" s="17">
        <v>46244.0</v>
      </c>
      <c r="L174" s="17">
        <v>46282.0</v>
      </c>
      <c r="M174" s="8" t="s">
        <v>107</v>
      </c>
    </row>
    <row r="175" ht="15.75" customHeight="1">
      <c r="A175" s="12" t="s">
        <v>925</v>
      </c>
      <c r="B175" s="12" t="s">
        <v>926</v>
      </c>
      <c r="C175" s="13" t="s">
        <v>927</v>
      </c>
      <c r="D175" s="12" t="s">
        <v>928</v>
      </c>
      <c r="E175" s="12" t="s">
        <v>713</v>
      </c>
      <c r="F175" s="12" t="s">
        <v>132</v>
      </c>
      <c r="G175" s="12" t="s">
        <v>48</v>
      </c>
      <c r="H175" s="12" t="s">
        <v>40</v>
      </c>
      <c r="I175" s="12" t="s">
        <v>134</v>
      </c>
      <c r="J175" s="16">
        <v>3000.0</v>
      </c>
      <c r="K175" s="17">
        <v>46041.0</v>
      </c>
      <c r="L175" s="17">
        <v>46070.0</v>
      </c>
      <c r="M175" s="8" t="s">
        <v>107</v>
      </c>
    </row>
    <row r="176" ht="15.75" customHeight="1">
      <c r="A176" s="12" t="s">
        <v>929</v>
      </c>
      <c r="B176" s="12" t="s">
        <v>930</v>
      </c>
      <c r="C176" s="13" t="s">
        <v>931</v>
      </c>
      <c r="D176" s="12" t="s">
        <v>932</v>
      </c>
      <c r="E176" s="12" t="s">
        <v>879</v>
      </c>
      <c r="F176" s="12" t="s">
        <v>88</v>
      </c>
      <c r="G176" s="12" t="s">
        <v>57</v>
      </c>
      <c r="H176" s="12" t="s">
        <v>40</v>
      </c>
      <c r="I176" s="12" t="s">
        <v>29</v>
      </c>
      <c r="J176" s="16">
        <v>3000.0</v>
      </c>
      <c r="K176" s="17">
        <v>46248.0</v>
      </c>
      <c r="L176" s="17">
        <v>46290.0</v>
      </c>
      <c r="M176" s="8" t="s">
        <v>107</v>
      </c>
    </row>
    <row r="177" ht="15.75" customHeight="1">
      <c r="A177" s="12" t="s">
        <v>933</v>
      </c>
      <c r="B177" s="12" t="s">
        <v>255</v>
      </c>
      <c r="C177" s="13" t="s">
        <v>934</v>
      </c>
      <c r="D177" s="12" t="s">
        <v>935</v>
      </c>
      <c r="E177" s="12" t="s">
        <v>936</v>
      </c>
      <c r="F177" s="12" t="s">
        <v>47</v>
      </c>
      <c r="G177" s="12" t="s">
        <v>57</v>
      </c>
      <c r="H177" s="12" t="s">
        <v>217</v>
      </c>
      <c r="I177" s="12" t="s">
        <v>134</v>
      </c>
      <c r="J177" s="16">
        <v>900.0</v>
      </c>
      <c r="K177" s="17">
        <v>46216.0</v>
      </c>
      <c r="L177" s="17">
        <v>46230.0</v>
      </c>
      <c r="M177" s="8" t="s">
        <v>66</v>
      </c>
    </row>
    <row r="178" ht="15.75" customHeight="1">
      <c r="A178" s="12" t="s">
        <v>937</v>
      </c>
      <c r="B178" s="12" t="s">
        <v>234</v>
      </c>
      <c r="C178" s="13" t="s">
        <v>938</v>
      </c>
      <c r="D178" s="12"/>
      <c r="E178" s="12" t="s">
        <v>939</v>
      </c>
      <c r="F178" s="12" t="s">
        <v>168</v>
      </c>
      <c r="G178" s="12" t="s">
        <v>27</v>
      </c>
      <c r="H178" s="12" t="s">
        <v>40</v>
      </c>
      <c r="I178" s="12" t="s">
        <v>77</v>
      </c>
      <c r="J178" s="16">
        <v>3000.0</v>
      </c>
      <c r="K178" s="17">
        <v>46095.0</v>
      </c>
      <c r="L178" s="17"/>
      <c r="M178" s="8" t="s">
        <v>107</v>
      </c>
    </row>
    <row r="179" ht="15.75" customHeight="1">
      <c r="A179" s="12" t="s">
        <v>940</v>
      </c>
      <c r="B179" s="12" t="s">
        <v>941</v>
      </c>
      <c r="C179" s="13" t="s">
        <v>942</v>
      </c>
      <c r="D179" s="12" t="s">
        <v>943</v>
      </c>
      <c r="E179" s="12" t="s">
        <v>944</v>
      </c>
      <c r="F179" s="12" t="s">
        <v>201</v>
      </c>
      <c r="G179" s="12" t="s">
        <v>27</v>
      </c>
      <c r="H179" s="12" t="s">
        <v>217</v>
      </c>
      <c r="I179" s="12" t="s">
        <v>50</v>
      </c>
      <c r="J179" s="16">
        <v>750.0</v>
      </c>
      <c r="K179" s="17">
        <v>46027.0</v>
      </c>
      <c r="L179" s="17">
        <v>46043.0</v>
      </c>
      <c r="M179" s="8" t="s">
        <v>66</v>
      </c>
    </row>
    <row r="180" ht="15.75" customHeight="1">
      <c r="A180" s="12" t="s">
        <v>945</v>
      </c>
      <c r="B180" s="12" t="s">
        <v>946</v>
      </c>
      <c r="C180" s="13" t="s">
        <v>947</v>
      </c>
      <c r="D180" s="12" t="s">
        <v>948</v>
      </c>
      <c r="E180" s="12" t="s">
        <v>949</v>
      </c>
      <c r="F180" s="12" t="s">
        <v>38</v>
      </c>
      <c r="G180" s="12" t="s">
        <v>133</v>
      </c>
      <c r="H180" s="12" t="s">
        <v>49</v>
      </c>
      <c r="I180" s="12" t="s">
        <v>58</v>
      </c>
      <c r="J180" s="16">
        <v>750.0</v>
      </c>
      <c r="K180" s="17">
        <v>46097.0</v>
      </c>
      <c r="L180" s="17">
        <v>46142.0</v>
      </c>
      <c r="M180" s="8" t="s">
        <v>66</v>
      </c>
    </row>
    <row r="181" ht="15.75" customHeight="1">
      <c r="A181" s="12" t="s">
        <v>950</v>
      </c>
      <c r="B181" s="12" t="s">
        <v>951</v>
      </c>
      <c r="C181" s="13" t="s">
        <v>952</v>
      </c>
      <c r="D181" s="12" t="s">
        <v>953</v>
      </c>
      <c r="E181" s="12"/>
      <c r="F181" s="12" t="s">
        <v>88</v>
      </c>
      <c r="G181" s="12" t="s">
        <v>27</v>
      </c>
      <c r="H181" s="12" t="s">
        <v>49</v>
      </c>
      <c r="I181" s="12" t="s">
        <v>58</v>
      </c>
      <c r="J181" s="16">
        <v>3000.0</v>
      </c>
      <c r="K181" s="17">
        <v>46083.0</v>
      </c>
      <c r="L181" s="17">
        <v>46123.0</v>
      </c>
      <c r="M181" s="8" t="s">
        <v>107</v>
      </c>
    </row>
    <row r="182" ht="15.75" customHeight="1">
      <c r="A182" s="12" t="s">
        <v>954</v>
      </c>
      <c r="B182" s="12" t="s">
        <v>955</v>
      </c>
      <c r="C182" s="13" t="s">
        <v>956</v>
      </c>
      <c r="D182" s="12" t="s">
        <v>957</v>
      </c>
      <c r="E182" s="12" t="s">
        <v>266</v>
      </c>
      <c r="F182" s="12" t="s">
        <v>162</v>
      </c>
      <c r="G182" s="12" t="s">
        <v>106</v>
      </c>
      <c r="H182" s="12" t="s">
        <v>28</v>
      </c>
      <c r="I182" s="12" t="s">
        <v>29</v>
      </c>
      <c r="J182" s="16">
        <v>750.0</v>
      </c>
      <c r="K182" s="17">
        <v>46201.0</v>
      </c>
      <c r="L182" s="17">
        <v>46211.0</v>
      </c>
      <c r="M182" s="8" t="s">
        <v>30</v>
      </c>
    </row>
    <row r="183" ht="15.75" customHeight="1">
      <c r="A183" s="12" t="s">
        <v>958</v>
      </c>
      <c r="B183" s="12" t="s">
        <v>959</v>
      </c>
      <c r="C183" s="13" t="s">
        <v>960</v>
      </c>
      <c r="D183" s="12"/>
      <c r="E183" s="12" t="s">
        <v>962</v>
      </c>
      <c r="F183" s="12" t="s">
        <v>283</v>
      </c>
      <c r="G183" s="12" t="s">
        <v>48</v>
      </c>
      <c r="H183" s="12" t="s">
        <v>40</v>
      </c>
      <c r="I183" s="12" t="s">
        <v>77</v>
      </c>
      <c r="J183" s="16">
        <v>500.0</v>
      </c>
      <c r="K183" s="17">
        <v>46189.0</v>
      </c>
      <c r="L183" s="17">
        <v>46190.0</v>
      </c>
      <c r="M183" s="8" t="s">
        <v>66</v>
      </c>
    </row>
    <row r="184" ht="15.75" customHeight="1">
      <c r="A184" s="12" t="s">
        <v>964</v>
      </c>
      <c r="B184" s="12" t="s">
        <v>965</v>
      </c>
      <c r="C184" s="13" t="s">
        <v>966</v>
      </c>
      <c r="D184" s="12" t="s">
        <v>967</v>
      </c>
      <c r="E184" s="12" t="s">
        <v>944</v>
      </c>
      <c r="F184" s="12" t="s">
        <v>126</v>
      </c>
      <c r="G184" s="12" t="s">
        <v>133</v>
      </c>
      <c r="H184" s="12" t="s">
        <v>40</v>
      </c>
      <c r="I184" s="12" t="s">
        <v>77</v>
      </c>
      <c r="J184" s="16">
        <v>750.0</v>
      </c>
      <c r="K184" s="17">
        <v>46229.0</v>
      </c>
      <c r="L184" s="17">
        <v>46257.0</v>
      </c>
      <c r="M184" s="8" t="s">
        <v>95</v>
      </c>
    </row>
    <row r="185" ht="15.75" customHeight="1">
      <c r="A185" s="12" t="s">
        <v>968</v>
      </c>
      <c r="B185" s="12" t="s">
        <v>969</v>
      </c>
      <c r="C185" s="13" t="s">
        <v>970</v>
      </c>
      <c r="D185" s="12" t="s">
        <v>972</v>
      </c>
      <c r="E185" s="12" t="s">
        <v>973</v>
      </c>
      <c r="F185" s="12" t="s">
        <v>38</v>
      </c>
      <c r="G185" s="12" t="s">
        <v>133</v>
      </c>
      <c r="H185" s="12" t="s">
        <v>76</v>
      </c>
      <c r="I185" s="12" t="s">
        <v>134</v>
      </c>
      <c r="J185" s="16">
        <v>350.0</v>
      </c>
      <c r="K185" s="17">
        <v>46220.0</v>
      </c>
      <c r="L185" s="17">
        <v>46253.0</v>
      </c>
      <c r="M185" s="8" t="s">
        <v>95</v>
      </c>
    </row>
    <row r="186" ht="15.75" customHeight="1">
      <c r="A186" s="12" t="s">
        <v>975</v>
      </c>
      <c r="B186" s="12" t="s">
        <v>976</v>
      </c>
      <c r="C186" s="13" t="s">
        <v>977</v>
      </c>
      <c r="D186" s="12" t="s">
        <v>978</v>
      </c>
      <c r="E186" s="12" t="s">
        <v>897</v>
      </c>
      <c r="F186" s="12" t="s">
        <v>168</v>
      </c>
      <c r="G186" s="12" t="s">
        <v>57</v>
      </c>
      <c r="H186" s="12" t="s">
        <v>217</v>
      </c>
      <c r="I186" s="12" t="s">
        <v>304</v>
      </c>
      <c r="J186" s="16">
        <v>350.0</v>
      </c>
      <c r="K186" s="17">
        <v>46034.0</v>
      </c>
      <c r="L186" s="17">
        <v>46072.0</v>
      </c>
      <c r="M186" s="8" t="s">
        <v>66</v>
      </c>
    </row>
    <row r="187" ht="15.75" customHeight="1">
      <c r="A187" s="12" t="s">
        <v>979</v>
      </c>
      <c r="B187" s="12" t="s">
        <v>980</v>
      </c>
      <c r="C187" s="52" t="s">
        <v>981</v>
      </c>
      <c r="D187" s="12" t="s">
        <v>982</v>
      </c>
      <c r="E187" s="12" t="s">
        <v>983</v>
      </c>
      <c r="F187" s="12" t="s">
        <v>201</v>
      </c>
      <c r="G187" s="12" t="s">
        <v>39</v>
      </c>
      <c r="H187" s="12" t="s">
        <v>28</v>
      </c>
      <c r="I187" s="12" t="s">
        <v>134</v>
      </c>
      <c r="J187" s="16">
        <v>2000.0</v>
      </c>
      <c r="K187" s="17">
        <v>46158.0</v>
      </c>
      <c r="L187" s="17">
        <v>46190.0</v>
      </c>
      <c r="M187" s="8" t="s">
        <v>107</v>
      </c>
    </row>
    <row r="188" ht="15.75" customHeight="1">
      <c r="A188" s="12" t="s">
        <v>984</v>
      </c>
      <c r="B188" s="12" t="s">
        <v>881</v>
      </c>
      <c r="C188" s="13" t="s">
        <v>985</v>
      </c>
      <c r="D188" s="12"/>
      <c r="E188" s="12" t="s">
        <v>973</v>
      </c>
      <c r="F188" s="12" t="s">
        <v>283</v>
      </c>
      <c r="G188" s="12" t="s">
        <v>133</v>
      </c>
      <c r="H188" s="12" t="s">
        <v>40</v>
      </c>
      <c r="I188" s="12" t="s">
        <v>50</v>
      </c>
      <c r="J188" s="16">
        <v>350.0</v>
      </c>
      <c r="K188" s="17">
        <v>46154.0</v>
      </c>
      <c r="L188" s="17">
        <v>46180.0</v>
      </c>
    </row>
    <row r="189" ht="15.75" customHeight="1">
      <c r="A189" s="12" t="s">
        <v>986</v>
      </c>
      <c r="B189" s="12" t="s">
        <v>987</v>
      </c>
      <c r="C189" s="13" t="s">
        <v>988</v>
      </c>
      <c r="D189" s="12"/>
      <c r="E189" s="12" t="s">
        <v>325</v>
      </c>
      <c r="F189" s="12" t="s">
        <v>47</v>
      </c>
      <c r="G189" s="12" t="s">
        <v>27</v>
      </c>
      <c r="H189" s="12" t="s">
        <v>76</v>
      </c>
      <c r="I189" s="12" t="s">
        <v>577</v>
      </c>
      <c r="J189" s="16">
        <v>750.0</v>
      </c>
      <c r="K189" s="17">
        <v>46156.0</v>
      </c>
      <c r="L189" s="17">
        <v>46197.0</v>
      </c>
      <c r="M189" s="8" t="s">
        <v>41</v>
      </c>
    </row>
    <row r="190" ht="15.75" customHeight="1">
      <c r="A190" s="12" t="s">
        <v>989</v>
      </c>
      <c r="B190" s="12" t="s">
        <v>990</v>
      </c>
      <c r="C190" s="13" t="s">
        <v>991</v>
      </c>
      <c r="D190" s="12" t="s">
        <v>992</v>
      </c>
      <c r="E190" s="12" t="s">
        <v>325</v>
      </c>
      <c r="F190" s="12" t="s">
        <v>38</v>
      </c>
      <c r="G190" s="12" t="s">
        <v>106</v>
      </c>
      <c r="H190" s="12" t="s">
        <v>76</v>
      </c>
      <c r="I190" s="12" t="s">
        <v>134</v>
      </c>
      <c r="J190" s="16">
        <v>350.0</v>
      </c>
      <c r="K190" s="17">
        <v>46119.0</v>
      </c>
      <c r="L190" s="17">
        <v>46127.0</v>
      </c>
      <c r="M190" s="8" t="s">
        <v>66</v>
      </c>
    </row>
    <row r="191" ht="15.75" customHeight="1">
      <c r="A191" s="12" t="s">
        <v>993</v>
      </c>
      <c r="B191" s="12" t="s">
        <v>994</v>
      </c>
      <c r="C191" s="13" t="s">
        <v>995</v>
      </c>
      <c r="D191" s="12" t="s">
        <v>996</v>
      </c>
      <c r="E191" s="12" t="s">
        <v>997</v>
      </c>
      <c r="F191" s="12" t="s">
        <v>26</v>
      </c>
      <c r="G191" s="12" t="s">
        <v>39</v>
      </c>
      <c r="H191" s="12" t="s">
        <v>76</v>
      </c>
      <c r="I191" s="12" t="s">
        <v>134</v>
      </c>
      <c r="J191" s="16">
        <v>1200.0</v>
      </c>
      <c r="K191" s="17">
        <v>46165.0</v>
      </c>
      <c r="L191" s="17">
        <v>46205.0</v>
      </c>
      <c r="M191" s="8" t="s">
        <v>107</v>
      </c>
    </row>
    <row r="192" ht="15.75" customHeight="1">
      <c r="A192" s="12" t="s">
        <v>68</v>
      </c>
      <c r="B192" s="12" t="s">
        <v>34</v>
      </c>
      <c r="C192" s="13" t="s">
        <v>35</v>
      </c>
      <c r="D192" s="12" t="s">
        <v>36</v>
      </c>
      <c r="E192" s="12" t="s">
        <v>37</v>
      </c>
      <c r="F192" s="12" t="s">
        <v>38</v>
      </c>
      <c r="G192" s="12" t="s">
        <v>39</v>
      </c>
      <c r="H192" s="12" t="s">
        <v>40</v>
      </c>
      <c r="I192" s="12" t="s">
        <v>29</v>
      </c>
      <c r="J192" s="16">
        <v>3000.0</v>
      </c>
      <c r="K192" s="17">
        <v>46088.0</v>
      </c>
      <c r="L192" s="17">
        <v>46113.0</v>
      </c>
      <c r="M192" s="8" t="s">
        <v>41</v>
      </c>
    </row>
    <row r="193" ht="15.75" customHeight="1">
      <c r="A193" s="12" t="s">
        <v>305</v>
      </c>
      <c r="B193" s="12" t="s">
        <v>306</v>
      </c>
      <c r="C193" s="13" t="s">
        <v>307</v>
      </c>
      <c r="D193" s="12" t="s">
        <v>160</v>
      </c>
      <c r="E193" s="12" t="s">
        <v>161</v>
      </c>
      <c r="F193" s="12" t="s">
        <v>162</v>
      </c>
      <c r="G193" s="12" t="s">
        <v>48</v>
      </c>
      <c r="H193" s="12" t="s">
        <v>28</v>
      </c>
      <c r="I193" s="12" t="s">
        <v>134</v>
      </c>
      <c r="J193" s="16">
        <v>1500.0</v>
      </c>
      <c r="K193" s="17">
        <v>46253.0</v>
      </c>
      <c r="L193" s="17">
        <v>46275.0</v>
      </c>
      <c r="M193" s="8" t="s">
        <v>66</v>
      </c>
    </row>
    <row r="194" ht="15.75" customHeight="1">
      <c r="A194" s="12" t="s">
        <v>1004</v>
      </c>
      <c r="B194" s="12" t="s">
        <v>568</v>
      </c>
      <c r="C194" s="13" t="s">
        <v>1002</v>
      </c>
      <c r="D194" s="12" t="s">
        <v>1003</v>
      </c>
      <c r="E194" s="12" t="s">
        <v>173</v>
      </c>
      <c r="F194" s="12" t="s">
        <v>168</v>
      </c>
      <c r="G194" s="12" t="s">
        <v>133</v>
      </c>
      <c r="H194" s="12" t="s">
        <v>28</v>
      </c>
      <c r="I194" s="12" t="s">
        <v>65</v>
      </c>
      <c r="J194" s="16">
        <v>2500.0</v>
      </c>
      <c r="K194" s="17">
        <v>46209.0</v>
      </c>
      <c r="L194" s="17">
        <v>46233.0</v>
      </c>
    </row>
    <row r="195" ht="15.75" customHeight="1">
      <c r="A195" s="12" t="s">
        <v>1007</v>
      </c>
      <c r="B195" s="12" t="s">
        <v>1008</v>
      </c>
      <c r="C195" s="13" t="s">
        <v>260</v>
      </c>
      <c r="D195" s="12" t="s">
        <v>271</v>
      </c>
      <c r="E195" s="12" t="s">
        <v>272</v>
      </c>
      <c r="F195" s="12" t="s">
        <v>120</v>
      </c>
      <c r="G195" s="12" t="s">
        <v>57</v>
      </c>
      <c r="H195" s="12" t="s">
        <v>40</v>
      </c>
      <c r="I195" s="12" t="s">
        <v>50</v>
      </c>
      <c r="J195" s="16">
        <v>1200.0</v>
      </c>
      <c r="K195" s="17">
        <v>46263.0</v>
      </c>
      <c r="L195" s="17">
        <v>46304.0</v>
      </c>
      <c r="M195" s="8" t="s">
        <v>95</v>
      </c>
    </row>
    <row r="196" ht="15.75" customHeight="1">
      <c r="A196" s="12" t="s">
        <v>998</v>
      </c>
      <c r="B196" s="12" t="s">
        <v>588</v>
      </c>
      <c r="C196" s="13" t="s">
        <v>999</v>
      </c>
      <c r="D196" s="12" t="s">
        <v>590</v>
      </c>
      <c r="E196" s="12" t="s">
        <v>591</v>
      </c>
      <c r="F196" s="12" t="s">
        <v>47</v>
      </c>
      <c r="G196" s="12" t="s">
        <v>57</v>
      </c>
      <c r="H196" s="12" t="s">
        <v>28</v>
      </c>
      <c r="I196" s="12" t="s">
        <v>29</v>
      </c>
      <c r="J196" s="16">
        <v>1200.0</v>
      </c>
      <c r="K196" s="17">
        <v>46232.0</v>
      </c>
      <c r="L196" s="17">
        <v>46254.0</v>
      </c>
    </row>
    <row r="197" ht="15.75" customHeight="1">
      <c r="A197" s="12" t="s">
        <v>1005</v>
      </c>
      <c r="B197" s="12" t="s">
        <v>1006</v>
      </c>
      <c r="C197" s="52"/>
      <c r="D197" s="12" t="s">
        <v>580</v>
      </c>
      <c r="E197" s="12" t="s">
        <v>581</v>
      </c>
      <c r="F197" s="12" t="s">
        <v>582</v>
      </c>
      <c r="G197" s="12" t="s">
        <v>57</v>
      </c>
      <c r="H197" s="12" t="s">
        <v>76</v>
      </c>
      <c r="I197" s="12" t="s">
        <v>77</v>
      </c>
      <c r="J197" s="16">
        <v>2000.0</v>
      </c>
      <c r="K197" s="17">
        <v>46041.0</v>
      </c>
      <c r="L197" s="17">
        <v>46061.0</v>
      </c>
      <c r="M197" s="8" t="s">
        <v>66</v>
      </c>
    </row>
    <row r="198" ht="15.75" customHeight="1">
      <c r="A198" s="12" t="s">
        <v>430</v>
      </c>
      <c r="B198" s="12" t="s">
        <v>373</v>
      </c>
      <c r="C198" s="13" t="s">
        <v>374</v>
      </c>
      <c r="D198" s="12" t="s">
        <v>375</v>
      </c>
      <c r="E198" s="12" t="s">
        <v>376</v>
      </c>
      <c r="F198" s="12" t="s">
        <v>162</v>
      </c>
      <c r="G198" s="12" t="s">
        <v>48</v>
      </c>
      <c r="H198" s="12" t="s">
        <v>76</v>
      </c>
      <c r="I198" s="12" t="s">
        <v>58</v>
      </c>
      <c r="J198" s="16">
        <v>350.0</v>
      </c>
      <c r="K198" s="17">
        <v>46191.0</v>
      </c>
      <c r="L198" s="17">
        <v>46214.0</v>
      </c>
    </row>
    <row r="199" ht="15.75" customHeight="1">
      <c r="A199" s="12" t="s">
        <v>1014</v>
      </c>
      <c r="B199" s="12" t="s">
        <v>1015</v>
      </c>
      <c r="C199" s="13" t="s">
        <v>1011</v>
      </c>
      <c r="D199" s="12" t="s">
        <v>1012</v>
      </c>
      <c r="E199" s="12" t="s">
        <v>1013</v>
      </c>
      <c r="F199" s="12" t="s">
        <v>201</v>
      </c>
      <c r="G199" s="12" t="s">
        <v>57</v>
      </c>
      <c r="H199" s="12" t="s">
        <v>76</v>
      </c>
      <c r="I199" s="12" t="s">
        <v>50</v>
      </c>
      <c r="J199" s="16">
        <v>3000.0</v>
      </c>
      <c r="K199" s="17">
        <v>46045.0</v>
      </c>
      <c r="L199" s="17">
        <v>46073.0</v>
      </c>
      <c r="M199" s="8" t="s">
        <v>95</v>
      </c>
    </row>
    <row r="200" ht="15.75" customHeight="1">
      <c r="A200" s="12" t="s">
        <v>1000</v>
      </c>
      <c r="B200" s="12" t="s">
        <v>177</v>
      </c>
      <c r="C200" s="13" t="s">
        <v>963</v>
      </c>
      <c r="D200" s="12" t="s">
        <v>971</v>
      </c>
      <c r="E200" s="12" t="s">
        <v>974</v>
      </c>
      <c r="F200" s="12" t="s">
        <v>205</v>
      </c>
      <c r="G200" s="12" t="s">
        <v>133</v>
      </c>
      <c r="H200" s="12" t="s">
        <v>49</v>
      </c>
      <c r="I200" s="12" t="s">
        <v>65</v>
      </c>
      <c r="J200" s="16">
        <v>500.0</v>
      </c>
      <c r="K200" s="17">
        <v>46245.0</v>
      </c>
      <c r="L200" s="17">
        <v>46255.0</v>
      </c>
      <c r="M200" s="8" t="s">
        <v>30</v>
      </c>
    </row>
    <row r="201" ht="15.75" customHeight="1">
      <c r="A201" s="12" t="s">
        <v>113</v>
      </c>
      <c r="B201" s="12" t="s">
        <v>114</v>
      </c>
      <c r="C201" s="13" t="s">
        <v>81</v>
      </c>
      <c r="D201" s="12"/>
      <c r="E201" s="12"/>
      <c r="F201" s="12" t="s">
        <v>82</v>
      </c>
      <c r="G201" s="12" t="s">
        <v>57</v>
      </c>
      <c r="H201" s="12" t="s">
        <v>40</v>
      </c>
      <c r="I201" s="12" t="s">
        <v>77</v>
      </c>
      <c r="J201" s="16">
        <v>1500.0</v>
      </c>
      <c r="K201" s="17">
        <v>46030.0</v>
      </c>
      <c r="L201" s="17">
        <v>46043.0</v>
      </c>
      <c r="M201" s="8" t="s">
        <v>30</v>
      </c>
    </row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DropDown="1" showErrorMessage="1" sqref="I2:I201">
      <formula1>"Contacted,New,Lost,Won,Proposal Sent,Qualified,qualified ,new,CONTACTED,Proposal"</formula1>
    </dataValidation>
    <dataValidation type="list" allowBlank="1" showDropDown="1" showErrorMessage="1" sqref="D2:D201">
      <formula1>"201539268,+1-5585000486,+503 23813586,+54 8433709892,+51 696 199 746,+56 510972174,+1 2474157676,+503 09369254,+503 70533950,2859040010,+34-105504239,+54-2437252546,+54-2332522808,+1-8301135501,425439667,2133177044,825136069,+51 380 353 771,+503 574 493 3"&amp;"8,61320024,3145091327,1239353409,+57 299 254 3784,2309827434,+54 5898158879,+52 0203959259,+52-8554682838,+1-4772755215,881839487,+57 406 830 4098,+503 323 170 50,+56 625 147 716,5161885601,+57 1778362014,+51 652057098,+503 311 113 05,+1-3605265298,+56-14"&amp;"3908964,+57 270 603 6025,+57 999 972 1801,+57-5080060809,+52 0112761625,+56-890013966,+34 778 887 740,8211396692,+51 544 209 389,7847790960,+503 295 606 49,+54 3292373787,+52-0552303571,+57-4585022660,8183107855,+1-3771357664,+52 048 187 9725,+54-64331362"&amp;"48,+56 985 264 358,2168233908,+51-515990381,+56 514 763 909,+503-99090473,+54 2159575470,+503 26678694,921879441,+1-5336844149,+56-124965231,+503-79101013,333427070,+57-4518781347,+1 968 359 4750,7562423315,02459593,7665420309,+54 837 455 6123,8070743004,"&amp;"+34 276297111,+1-7651379288,+56-709672057,+1-7323032338,9371595864,+34-414454779,+52 361 107 5819,+51-104165797,+56 951667994,+34 745 616 412,105054787,848766383,+57 6534755042,4313534385,+34 813 084 667,+503 54250792,+1 491 770 2629,+51 845774387,+503 27"&amp;"5 304 17,+56 604 702 366,+1 698 088 2051,+52-8293081129,601867359,+34 617591710,+57 942 640 0471,+56 700683065,+1 337 473 7716,+503 570 829 54,+56 356 142 033,+1 463 450 0076,+34 940 882 859,+1 9561685659,+34 086 185 140,+56 226 129 038,+56 560 133 098,+3"&amp;"4-790386715,+51 339 768 353,+1 635 410 9940,8567496328,1957410267,+34-918285663,+503 81128520,082230988,+56-286970949,+54 245 100 6367,8882056262,+56 898 597 771,+52-6150366632,433147727,+51 736 271 433,1498890472,+57 2907151478,+57 538 154 3613,790258669"&amp;",+1-8300585560,361739448,+51 164435378,+503-15737884,9325473404,68353660,+34-276910798,46816577,+34-888532093,+54-8088893920,+503-66191375,+51 551149129,+51-638299429,3521981237,2160990710,711204062,+57-2266782499,621229034,+54 875 785 3178,6208974456,+57"&amp;" 767 262 5339,+34-361067270,+51 717 127 847,+52 5621833852,+52-8071470510,+56 270488243,+1 1882359298,+1-7598255590,+1-4183584322,1298537478,+57 6334538656,607521611,+54-0643959911,+56 084924937,1171726132,+503 96814495,+503 89621861,4920159611,685508313,"&amp;"09409693,+1 4705038251,+51 216932765,+56 602 437 918,+54 8426880738,+52 7269446106,+56-315447407,+56-702963040"</formula1>
    </dataValidation>
    <dataValidation type="list" allowBlank="1" showDropDown="1" showErrorMessage="1" sqref="A2:A201">
      <formula1>"ALM-0001,ALM-0002,ALM-0003,ALM-0004,ALM-0005,ALM-0006,ALM-0007,ALM-0008,ALM-0009,ALM-0010,ALM-0011,ALM-0012,ALM-0013,ALM-0014,ALM-0015,ALM-0016,ALM-0017,ALM-0018,ALM-0019,ALM-0020,ALM-0021,ALM-0022,ALM-0023,ALM-0024,ALM-0025,ALM-0026,ALM-0027,ALM-0028,ALM"&amp;"-0029,ALM-0030,ALM-0031,ALM-0032,ALM-0033,ALM-0034,ALM-0035,ALM-0036,ALM-0037,ALM-0038,ALM-0039,ALM-0040,ALM-0041,ALM-0042,ALM-0043,ALM-0044,ALM-0045,ALM-0046,ALM-0047,ALM-0048,ALM-0049,ALM-0050,ALM-0051,ALM-0052,ALM-0053,ALM-0054,ALM-0055,ALM-0056,ALM-00"&amp;"57,ALM-0058,ALM-0059,ALM-0060,ALM-0061,ALM-0062,ALM-0063,ALM-0064,ALM-0065,ALM-0066,ALM-0067,ALM-0068,ALM-0069,ALM-0070,ALM-0071,ALM-0072,ALM-0073,ALM-0074,ALM-0075,ALM-0076,ALM-0077,ALM-0078,ALM-0079,ALM-0080,ALM-0081,ALM-0082,ALM-0083,ALM-0084,ALM-0085,"&amp;"ALM-0086,ALM-0087,ALM-0088,ALM-0089,ALM-0090,ALM-0091,ALM-0092,ALM-0093,ALM-0094,ALM-0095,ALM-0096,ALM-0097,ALM-0098,ALM-0099,ALM-0100,ALM-0101,ALM-0102,ALM-0103,ALM-0104,ALM-0105,ALM-0106,ALM-0107,ALM-0108,ALM-0109,ALM-0110,ALM-0111,ALM-0112,ALM-0113,ALM"&amp;"-0114,ALM-0115,ALM-0116,ALM-0117,ALM-0118,ALM-0119,ALM-0120,ALM-0121,ALM-0122,ALM-0123,ALM-0124,ALM-0125,ALM-0126,ALM-0127,ALM-0128,ALM-0129,ALM-0130,ALM-0131,ALM-0132,ALM-0133,ALM-0134,ALM-0135,ALM-0136,ALM-0137,ALM-0138,ALM-0139,ALM-0140,ALM-0141,ALM-01"&amp;"42,ALM-0143,ALM-0144,ALM-0145,ALM-0146,ALM-0147,ALM-0148,ALM-0149,ALM-0150,ALM-0151,ALM-0152,ALM-0153,ALM-0154,ALM-0155,ALM-0156,ALM-0157,ALM-0158,ALM-0159,ALM-0160,ALM-0161,ALM-0162,ALM-0163,ALM-0164,ALM-0165,ALM-0166,ALM-0167,ALM-0168,ALM-0169,ALM-0170,"&amp;"ALM-0171,ALM-0172,ALM-0173,ALM-0174,ALM-0175,ALM-0176,ALM-0177,ALM-0178,ALM-0179,ALM-0180,ALM-0181,ALM-0182,ALM-0183,ALM-0184,ALM-0185,ALM-0186,ALM-0187,ALM-0188,ALM-0189,ALM-0190,ALM-0191,ALM-0192,ALM-0193,ALM-0194,ALM-0195,ALM-0196,ALM-0197,ALM-0198,ALM"&amp;"-0199,ALM-0200"</formula1>
    </dataValidation>
    <dataValidation type="custom" allowBlank="1" showDropDown="1" sqref="K2:L201">
      <formula1>OR(NOT(ISERROR(DATEVALUE(K2))), AND(ISNUMBER(K2), LEFT(CELL("format", K2))="D"))</formula1>
    </dataValidation>
    <dataValidation type="list" allowBlank="1" showDropDown="1" showErrorMessage="1" sqref="G2:G201">
      <formula1>"Organic Search,Website,Referral,Facebook,Instagram,LinkedIn"</formula1>
    </dataValidation>
    <dataValidation type="list" allowBlank="1" showDropDown="1" showErrorMessage="1" sqref="B2:B201">
      <formula1>"Alejandro Navarro,Valeria Rivera,Carlos Navarro,María González,Carolina Navarro,Paula Díaz,María Rivera,PATRICIA MARTÍNEZ,Miguel Rodríguez,Manuel López,Patricia Pérez,  Andrés Martínez  ,natalia ortiz,Camila Torres,  Sergio Ortiz  ,Javier Díaz,Javier Mart"&amp;"ínez,Isabel Gómez,Luis Rodríguez,Natalia Díaz,Daniel Flores,Sergio Gómez,Raúl Hernández,Sergio Hernández,Diego García,Daniel Pérez,Fernando Morales,Alejandro Torres,Alejandro Ramírez,Raúl Rodríguez,Diego Navarro,Andrés Sánchez,Manuel Morales,Alejandro Sán"&amp;"chez,Patricia Díaz,David Torres,Fernando Romero,Fernando Rivera,Isabel Ortiz,Lucía Sánchez,Carolina Flores,Sofía Morales,María Ortiz,natalia sánchez,Camila Díaz,Sofía Vargas,Luis Flores,Valeria Romero,Lucía García,María Sánchez,Patricia Rodríguez,Natalia "&amp;"Rodríguez,María Rodríguez,Ricardo Morales,Patricia Castro,Andrés Morales,Fernando Díaz,Carlos Pérez,Javier Flores,Isabel Hernández,Paula Castro,Carlos López,elena torres,Camila Hernández,Elena Vargas,Andrés Gómez,Laura Martínez,David Ortiz,Camila González"&amp;",RICARDO LÓPEZ,Carolina Ortiz,Fernando Ramírez,  Marta Rivera  ,Isabel Rivera,Sergio García,Manuel Rodríguez,David Rodríguez,Daniel Díaz,Luis Morales,Ana García,Carlos Martínez,Laura Gómez,Isabel González,Laura Rivera,Ana Flores,Valeria Castro,LUIS GONZÁL"&amp;"EZ,David González,Carolina García,SERGIO NAVARRO,Javier Navarro,CAROLINA NAVARRO,José Gómez,David Navarro,Patricia Vargas,Ana López,Valeria García,Manuel Castro,Miguel Castro,Ana Hernández,miguel ramírez,Alejandro Morales,David Flores,Ana Ortiz,Paula Lópe"&amp;"z,  Carolina Rivera  ,Andrés González,Manuel Vargas,Raúl Vargas,Luis Hernández,  Lucía Vargas  ,Lucía Díaz,Daniel Gómez,Elena Morales,Diego Hernández,Sofía López,SOFÍA DÍAZ,Paula Flores,Manuel Rivera,David Sánchez,José Martínez,Raúl Sánchez,  Paula Castro"&amp;"  ,MIGUEL LÓPEZ,Carlos Morales,María Morales,LUCÍA ORTIZ,Fernando Flores,manuel rodríguez,Daniel Sánchez,Ricardo Torres,Lucía Flores,Gabriela Ramírez,José Castro,Andrés Romero,LUIS FLORES,David Romero,manuel gómez,Laura Torres,Daniel Ramírez,Manuel Martín"&amp;"ez,Miguel Sánchez,Raúl Pérez,Lucía Romero,ALEJANDRO GONZÁLEZ,Andrés Castro,Manuel Sánchez,Ana Castro,Patricia Rivera,Valeria Vargas,Isabel Castro,Fernando Vargas,maría gómez,Carlos Hernández,Sergio Sánchez,Paula García,Isabel Torres,Luis Romero,Javier Var"&amp;"gas,david vargas,Diego Castro,Lucía Castro,Luis López,Elena Díaz,Miguel Martínez,Lucía Rodríguez, Carlos Pérez , Valeria Rivera , Javier Navarro , Valeria Romero , Camila Torres "</formula1>
    </dataValidation>
    <dataValidation type="custom" allowBlank="1" showDropDown="1" sqref="J2:J201">
      <formula1>AND(ISNUMBER(J2),(NOT(OR(NOT(ISERROR(DATEVALUE(J2))), AND(ISNUMBER(J2), LEFT(CELL("format", J2))="D")))))</formula1>
    </dataValidation>
    <dataValidation type="list" allowBlank="1" showDropDown="1" showErrorMessage="1" sqref="H2:H201">
      <formula1>"Document Processing,Workflow Automation,AI Voice Agent,Data Automation,Website Chat Agent"</formula1>
    </dataValidation>
    <dataValidation type="list" allowBlank="1" showDropDown="1" showErrorMessage="1" sqref="E2:E201">
      <formula1>"Apex Studio,Green Studio,Momentum Services,Sol Partners, Bright Partners,Digital Studio,CLOUD SOLUTIONS,Vision Solutions,Nova Commerce,Momentum Studio,Nexo Group,Apex Services,Sol Solutions,Vision Partners,Nova Partners,Apex Solutions,Apex Consulting,Atla"&amp;"s Consulting, Prime Group,Urban Commerce,Sol Commerce,Vertex Solutions,MOMENTUM SERVICES,Vision Services,Bright Solutions,Prime Labs,Cloud Commerce,Blue Studio,Blue Services,Urban Works,Sol Labs,Vertex Labs,Bright Commerce,Apex Labs,Momentum Works,Cloud L"&amp;"abs,Prime Media,Blue Media,Green Services,Nexo Services,Momentum Solutions,Nova Solutions,Nexo Solutions,Vertex Services,Digital Media,Cloud Media,Nova Studio,Bright Services,Atlas Labs,Bright Works,Nova Group,Apex Partners,Vision Media,Prime Group,Bright"&amp;" Studio,Vision Commerce,Sol Works,Green Labs,Apex Commerce,Digital Labs,Urban Solutions,Momentum Commerce,Digital Services,Blue Partners,Vision Consulting,Urban Consulting,Sol Media,Prime Studio,Green Works,Nexo Commerce,Momentum Group,Vertex Media,Nova C"&amp;"onsulting,Vertex Consulting,Bright Media,Urban Media,Apex Group,Bright Labs,Nova Works,NOVA LABS, Momentum Works,Green Partners,Blue Group,BLUE GROUP, Nexo Works,Vision Studio,Urban Services,Atlas Commerce,Vision Labs,Prime Commerce,Sol Consulting,Nexo La"&amp;"bs,Green Consulting,Cloud Group,Vision Works,Nova Services,Digital Group,Atlas Partners,Digital Partners,Momentum Partners,Cloud Partners,Prime Consulting,Green Solutions,Nova Labs,Blue Works,Blue Solutions,Nova Media,Nexo Studio,Blue Consulting,Vision Gr"&amp;"oup,Prime Partners,Urban Labs,Bright Group,Green Commerce"</formula1>
    </dataValidation>
    <dataValidation type="list" allowBlank="1" showDropDown="1" showErrorMessage="1" sqref="F2:F201">
      <formula1>"CHILE,United States,El Salvador,ARGENTINA,peru,chile,U.S.A.,el salvador,spain,PERU,Argentina,Perú,EL SALVADOR,argentina,colombia,Peru,Mexico,México,Salvador,COLOMBIA,united states,Chile,Colombia,MEXICO,Spain,US,USA,SPAIN,mexico,España,Espana"</formula1>
    </dataValidation>
  </dataValidations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9"/>
    <hyperlink r:id="rId28" ref="C30"/>
    <hyperlink r:id="rId29" ref="C31"/>
    <hyperlink r:id="rId30" ref="C32"/>
    <hyperlink r:id="rId31" ref="C33"/>
    <hyperlink r:id="rId32" ref="C34"/>
    <hyperlink r:id="rId33" ref="C35"/>
    <hyperlink r:id="rId34" ref="C36"/>
    <hyperlink r:id="rId35" ref="C37"/>
    <hyperlink r:id="rId36" ref="C38"/>
    <hyperlink r:id="rId37" ref="C39"/>
    <hyperlink r:id="rId38" ref="C40"/>
    <hyperlink r:id="rId39" ref="C41"/>
    <hyperlink r:id="rId40" ref="C43"/>
    <hyperlink r:id="rId41" ref="C44"/>
    <hyperlink r:id="rId42" ref="C45"/>
    <hyperlink r:id="rId43" ref="C46"/>
    <hyperlink r:id="rId44" ref="C47"/>
    <hyperlink r:id="rId45" ref="C48"/>
    <hyperlink r:id="rId46" ref="C49"/>
    <hyperlink r:id="rId47" ref="C50"/>
    <hyperlink r:id="rId48" ref="C51"/>
    <hyperlink r:id="rId49" ref="C52"/>
    <hyperlink r:id="rId50" ref="C53"/>
    <hyperlink r:id="rId51" ref="C54"/>
    <hyperlink r:id="rId52" ref="C55"/>
    <hyperlink r:id="rId53" ref="C56"/>
    <hyperlink r:id="rId54" ref="C57"/>
    <hyperlink r:id="rId55" ref="C58"/>
    <hyperlink r:id="rId56" ref="C59"/>
    <hyperlink r:id="rId57" ref="C60"/>
    <hyperlink r:id="rId58" ref="C61"/>
    <hyperlink r:id="rId59" ref="C63"/>
    <hyperlink r:id="rId60" ref="C64"/>
    <hyperlink r:id="rId61" ref="C66"/>
    <hyperlink r:id="rId62" ref="C67"/>
    <hyperlink r:id="rId63" ref="C68"/>
    <hyperlink r:id="rId64" ref="C69"/>
    <hyperlink r:id="rId65" ref="C70"/>
    <hyperlink r:id="rId66" ref="C71"/>
    <hyperlink r:id="rId67" ref="C72"/>
    <hyperlink r:id="rId68" ref="C73"/>
    <hyperlink r:id="rId69" ref="C74"/>
    <hyperlink r:id="rId70" ref="C75"/>
    <hyperlink r:id="rId71" ref="C76"/>
    <hyperlink r:id="rId72" ref="C77"/>
    <hyperlink r:id="rId73" ref="C78"/>
    <hyperlink r:id="rId74" ref="C79"/>
    <hyperlink r:id="rId75" ref="C80"/>
    <hyperlink r:id="rId76" ref="C81"/>
    <hyperlink r:id="rId77" ref="C82"/>
    <hyperlink r:id="rId78" ref="C83"/>
    <hyperlink r:id="rId79" ref="C84"/>
    <hyperlink r:id="rId80" ref="C85"/>
    <hyperlink r:id="rId81" ref="C87"/>
    <hyperlink r:id="rId82" ref="C88"/>
    <hyperlink r:id="rId83" ref="C89"/>
    <hyperlink r:id="rId84" ref="C90"/>
    <hyperlink r:id="rId85" ref="C91"/>
    <hyperlink r:id="rId86" ref="C92"/>
    <hyperlink r:id="rId87" ref="C93"/>
    <hyperlink r:id="rId88" ref="C94"/>
    <hyperlink r:id="rId89" ref="C95"/>
    <hyperlink r:id="rId90" ref="C96"/>
    <hyperlink r:id="rId91" ref="C97"/>
    <hyperlink r:id="rId92" ref="C98"/>
    <hyperlink r:id="rId93" ref="C100"/>
    <hyperlink r:id="rId94" ref="C101"/>
    <hyperlink r:id="rId95" ref="C102"/>
    <hyperlink r:id="rId96" ref="C103"/>
    <hyperlink r:id="rId97" ref="C104"/>
    <hyperlink r:id="rId98" ref="C105"/>
    <hyperlink r:id="rId99" ref="C106"/>
    <hyperlink r:id="rId100" ref="C107"/>
    <hyperlink r:id="rId101" ref="C108"/>
    <hyperlink r:id="rId102" ref="C109"/>
    <hyperlink r:id="rId103" ref="C110"/>
    <hyperlink r:id="rId104" ref="C111"/>
    <hyperlink r:id="rId105" ref="C112"/>
    <hyperlink r:id="rId106" ref="C113"/>
    <hyperlink r:id="rId107" ref="C114"/>
    <hyperlink r:id="rId108" ref="C116"/>
    <hyperlink r:id="rId109" ref="C117"/>
    <hyperlink r:id="rId110" ref="C118"/>
    <hyperlink r:id="rId111" ref="C119"/>
    <hyperlink r:id="rId112" ref="C120"/>
    <hyperlink r:id="rId113" ref="C121"/>
    <hyperlink r:id="rId114" ref="C122"/>
    <hyperlink r:id="rId115" ref="C123"/>
    <hyperlink r:id="rId116" ref="C124"/>
    <hyperlink r:id="rId117" ref="C126"/>
    <hyperlink r:id="rId118" ref="C127"/>
    <hyperlink r:id="rId119" ref="C128"/>
    <hyperlink r:id="rId120" ref="C129"/>
    <hyperlink r:id="rId121" ref="C130"/>
    <hyperlink r:id="rId122" ref="C131"/>
    <hyperlink r:id="rId123" ref="C132"/>
    <hyperlink r:id="rId124" ref="C133"/>
    <hyperlink r:id="rId125" ref="C134"/>
    <hyperlink r:id="rId126" ref="C135"/>
    <hyperlink r:id="rId127" ref="C136"/>
    <hyperlink r:id="rId128" ref="C137"/>
    <hyperlink r:id="rId129" ref="C138"/>
    <hyperlink r:id="rId130" ref="C139"/>
    <hyperlink r:id="rId131" ref="C141"/>
    <hyperlink r:id="rId132" ref="C142"/>
    <hyperlink r:id="rId133" ref="C143"/>
    <hyperlink r:id="rId134" ref="C144"/>
    <hyperlink r:id="rId135" ref="C145"/>
    <hyperlink r:id="rId136" ref="C148"/>
    <hyperlink r:id="rId137" ref="C149"/>
    <hyperlink r:id="rId138" ref="C150"/>
    <hyperlink r:id="rId139" ref="C151"/>
    <hyperlink r:id="rId140" ref="C152"/>
    <hyperlink r:id="rId141" ref="C153"/>
    <hyperlink r:id="rId142" ref="C154"/>
    <hyperlink r:id="rId143" ref="C155"/>
    <hyperlink r:id="rId144" ref="C156"/>
    <hyperlink r:id="rId145" ref="C157"/>
    <hyperlink r:id="rId146" ref="C158"/>
    <hyperlink r:id="rId147" ref="C159"/>
    <hyperlink r:id="rId148" ref="C160"/>
    <hyperlink r:id="rId149" ref="C161"/>
    <hyperlink r:id="rId150" ref="C162"/>
    <hyperlink r:id="rId151" ref="C164"/>
    <hyperlink r:id="rId152" ref="C165"/>
    <hyperlink r:id="rId153" ref="C166"/>
    <hyperlink r:id="rId154" ref="C167"/>
    <hyperlink r:id="rId155" ref="C168"/>
    <hyperlink r:id="rId156" ref="C169"/>
    <hyperlink r:id="rId157" ref="C170"/>
    <hyperlink r:id="rId158" ref="C171"/>
    <hyperlink r:id="rId159" ref="C172"/>
    <hyperlink r:id="rId160" ref="C174"/>
    <hyperlink r:id="rId161" ref="C175"/>
    <hyperlink r:id="rId162" ref="C176"/>
    <hyperlink r:id="rId163" ref="C177"/>
    <hyperlink r:id="rId164" ref="C178"/>
    <hyperlink r:id="rId165" ref="C179"/>
    <hyperlink r:id="rId166" ref="C180"/>
    <hyperlink r:id="rId167" ref="C181"/>
    <hyperlink r:id="rId168" ref="C182"/>
    <hyperlink r:id="rId169" ref="C183"/>
    <hyperlink r:id="rId170" ref="C184"/>
    <hyperlink r:id="rId171" ref="C185"/>
    <hyperlink r:id="rId172" ref="C186"/>
    <hyperlink r:id="rId173" ref="C188"/>
    <hyperlink r:id="rId174" ref="C189"/>
    <hyperlink r:id="rId175" ref="C190"/>
    <hyperlink r:id="rId176" ref="C191"/>
    <hyperlink r:id="rId177" ref="C192"/>
    <hyperlink r:id="rId178" ref="C193"/>
    <hyperlink r:id="rId179" ref="C194"/>
    <hyperlink r:id="rId180" ref="C195"/>
    <hyperlink r:id="rId181" ref="C196"/>
    <hyperlink r:id="rId182" ref="C198"/>
    <hyperlink r:id="rId183" ref="C199"/>
    <hyperlink r:id="rId184" ref="C200"/>
    <hyperlink r:id="rId185" ref="C201"/>
  </hyperlinks>
  <printOptions/>
  <pageMargins bottom="0.75" footer="0.0" header="0.0" left="0.7" right="0.7" top="0.75"/>
  <pageSetup orientation="landscape"/>
  <drawing r:id="rId186"/>
  <tableParts count="1">
    <tablePart r:id="rId188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9.75"/>
    <col customWidth="1" min="2" max="2" width="24.0"/>
    <col customWidth="1" min="3" max="4" width="31.63"/>
    <col customWidth="1" min="5" max="5" width="25.38"/>
    <col customWidth="1" min="6" max="6" width="43.88"/>
    <col customWidth="1" min="7" max="7" width="20.13"/>
    <col customWidth="1" min="8" max="8" width="35.25"/>
    <col customWidth="1" min="9" max="10" width="20.0"/>
    <col customWidth="1" min="11" max="11" width="24.0"/>
    <col customWidth="1" min="12" max="12" width="18.0"/>
    <col customWidth="1" min="13" max="13" width="24.5"/>
    <col customWidth="1" min="14" max="14" width="22.38"/>
    <col customWidth="1" min="15" max="15" width="24.88"/>
    <col customWidth="1" min="16" max="16" width="22.0"/>
    <col customWidth="1" min="17" max="17" width="33.88"/>
    <col customWidth="1" min="18" max="18" width="24.75"/>
    <col customWidth="1" min="19" max="19" width="23.5"/>
    <col customWidth="1" min="20" max="20" width="29.75"/>
    <col customWidth="1" min="21" max="21" width="26.0"/>
    <col customWidth="1" min="22" max="22" width="30.5"/>
    <col customWidth="1" min="23" max="34" width="8.63"/>
  </cols>
  <sheetData>
    <row r="1" ht="22.5" customHeight="1">
      <c r="A1" s="6" t="s">
        <v>749</v>
      </c>
      <c r="B1" s="6" t="s">
        <v>758</v>
      </c>
      <c r="C1" s="6" t="s">
        <v>2</v>
      </c>
      <c r="D1" s="6" t="s">
        <v>1016</v>
      </c>
      <c r="E1" s="6" t="s">
        <v>1017</v>
      </c>
      <c r="F1" s="6" t="s">
        <v>1018</v>
      </c>
      <c r="G1" s="6" t="s">
        <v>1019</v>
      </c>
      <c r="H1" s="6" t="s">
        <v>1020</v>
      </c>
      <c r="I1" s="6" t="s">
        <v>1021</v>
      </c>
      <c r="J1" s="6" t="s">
        <v>761</v>
      </c>
      <c r="K1" s="6" t="s">
        <v>762</v>
      </c>
      <c r="L1" s="6" t="s">
        <v>763</v>
      </c>
      <c r="M1" s="6" t="s">
        <v>1022</v>
      </c>
      <c r="N1" s="6" t="s">
        <v>766</v>
      </c>
      <c r="O1" s="6" t="s">
        <v>1023</v>
      </c>
      <c r="P1" s="51" t="s">
        <v>1024</v>
      </c>
      <c r="Q1" s="51" t="s">
        <v>1025</v>
      </c>
      <c r="R1" s="51" t="s">
        <v>771</v>
      </c>
      <c r="S1" s="51" t="s">
        <v>775</v>
      </c>
      <c r="T1" s="51" t="s">
        <v>1026</v>
      </c>
      <c r="U1" s="51" t="s">
        <v>777</v>
      </c>
    </row>
    <row r="2" ht="22.5" customHeight="1">
      <c r="A2" s="12" t="s">
        <v>21</v>
      </c>
      <c r="B2" s="12" t="s">
        <v>22</v>
      </c>
      <c r="C2" s="13" t="s">
        <v>23</v>
      </c>
      <c r="D2" s="8" t="str">
        <f t="shared" ref="D2:D201" si="1">LOWER(TRIM(C2))</f>
        <v>alejandro.navarro94@company.com</v>
      </c>
      <c r="G2" s="8" t="str">
        <f t="shared" ref="G2:G201" si="2">IF(D2="","Missing Email",IF(COUNTIF($D$2:$D$201,D2)&gt;1,"Duplicate","Unique"))</f>
        <v>Unique</v>
      </c>
      <c r="I2" s="8" t="str">
        <f>IFERROR(__xludf.DUMMYFUNCTION("IF(C2="""",""Missing"",IF(REGEXMATCH(C2,""^[^@\s]+@[^@\s]+\.[^@\s]+$""),""Valid"",""Invalid""))"),"Valid")</f>
        <v>Valid</v>
      </c>
      <c r="J2" s="12" t="s">
        <v>24</v>
      </c>
      <c r="K2" s="12" t="s">
        <v>25</v>
      </c>
      <c r="L2" s="12" t="s">
        <v>26</v>
      </c>
      <c r="M2" s="8" t="str">
        <f t="shared" ref="M2:M201" si="3">IF(L2="","",IF(OR(LOWER(TRIM(L2))="u.s.a.",LOWER(TRIM(L2))="united states"),"United States",IF(OR(LOWER(TRIM(L2))="spain",LOWER(TRIM(L2))="españa",LOWER(TRIM(L2))="espana"),"Spain",IF(OR(LOWER(TRIM(L2))="mexico",LOWER(TRIM(L2))="méxico"),"Mexico",PROPER(LOWER(TRIM(L2)))))))</f>
        <v>Chile</v>
      </c>
      <c r="N2" s="12" t="s">
        <v>27</v>
      </c>
      <c r="O2" s="12" t="s">
        <v>28</v>
      </c>
      <c r="P2" s="12" t="s">
        <v>29</v>
      </c>
      <c r="Q2" s="8" t="str">
        <f t="shared" ref="Q2:Q199" si="4">IF(P2="","",PROPER(LOWER(TRIM(P2))))</f>
        <v>Contacted</v>
      </c>
      <c r="R2" s="16"/>
      <c r="S2" s="17">
        <v>46111.0</v>
      </c>
      <c r="T2" s="17">
        <v>46153.0</v>
      </c>
      <c r="U2" s="8" t="s">
        <v>30</v>
      </c>
      <c r="V2" s="11" t="s">
        <v>31</v>
      </c>
      <c r="W2" s="11" t="s">
        <v>32</v>
      </c>
    </row>
    <row r="3" ht="22.5" customHeight="1">
      <c r="A3" s="12" t="s">
        <v>33</v>
      </c>
      <c r="B3" s="12" t="s">
        <v>34</v>
      </c>
      <c r="C3" s="13" t="s">
        <v>35</v>
      </c>
      <c r="D3" s="8" t="str">
        <f t="shared" si="1"/>
        <v>camila.gonzalez86@mail.com</v>
      </c>
      <c r="G3" s="8" t="str">
        <f t="shared" si="2"/>
        <v>Duplicate</v>
      </c>
      <c r="I3" s="8" t="str">
        <f>IFERROR(__xludf.DUMMYFUNCTION("IF(C3="""",""Missing"",IF(REGEXMATCH(C3,""^[^@\s]+@[^@\s]+\.[^@\s]+$""),""Valid"",""Invalid""))"),"Valid")</f>
        <v>Valid</v>
      </c>
      <c r="J3" s="12" t="s">
        <v>36</v>
      </c>
      <c r="K3" s="12" t="s">
        <v>37</v>
      </c>
      <c r="L3" s="12" t="s">
        <v>38</v>
      </c>
      <c r="M3" s="8" t="str">
        <f t="shared" si="3"/>
        <v>Chile</v>
      </c>
      <c r="N3" s="12" t="s">
        <v>39</v>
      </c>
      <c r="O3" s="12" t="s">
        <v>40</v>
      </c>
      <c r="P3" s="12" t="s">
        <v>29</v>
      </c>
      <c r="Q3" s="8" t="str">
        <f t="shared" si="4"/>
        <v>Contacted</v>
      </c>
      <c r="R3" s="16">
        <v>3000.0</v>
      </c>
      <c r="S3" s="17">
        <v>46088.0</v>
      </c>
      <c r="T3" s="17">
        <v>46113.0</v>
      </c>
      <c r="U3" s="8" t="s">
        <v>41</v>
      </c>
    </row>
    <row r="4" ht="22.5" customHeight="1">
      <c r="A4" s="12" t="s">
        <v>42</v>
      </c>
      <c r="B4" s="12" t="s">
        <v>43</v>
      </c>
      <c r="C4" s="13" t="s">
        <v>44</v>
      </c>
      <c r="D4" s="8" t="str">
        <f t="shared" si="1"/>
        <v>carlos.navarro11@mail.com</v>
      </c>
      <c r="G4" s="8" t="str">
        <f t="shared" si="2"/>
        <v>Unique</v>
      </c>
      <c r="I4" s="8" t="str">
        <f>IFERROR(__xludf.DUMMYFUNCTION("IF(C4="""",""Missing"",IF(REGEXMATCH(C4,""^[^@\s]+@[^@\s]+\.[^@\s]+$""),""Valid"",""Invalid""))"),"Valid")</f>
        <v>Valid</v>
      </c>
      <c r="J4" s="12" t="s">
        <v>45</v>
      </c>
      <c r="K4" s="12" t="s">
        <v>46</v>
      </c>
      <c r="L4" s="12" t="s">
        <v>47</v>
      </c>
      <c r="M4" s="8" t="str">
        <f t="shared" si="3"/>
        <v>El Salvador</v>
      </c>
      <c r="N4" s="12" t="s">
        <v>48</v>
      </c>
      <c r="O4" s="12" t="s">
        <v>49</v>
      </c>
      <c r="P4" s="12" t="s">
        <v>50</v>
      </c>
      <c r="Q4" s="8" t="str">
        <f t="shared" si="4"/>
        <v>New</v>
      </c>
      <c r="R4" s="16">
        <v>500.0</v>
      </c>
      <c r="S4" s="17">
        <v>46101.0</v>
      </c>
      <c r="T4" s="17"/>
    </row>
    <row r="5" ht="22.5" customHeight="1">
      <c r="A5" s="12" t="s">
        <v>51</v>
      </c>
      <c r="B5" s="12" t="s">
        <v>52</v>
      </c>
      <c r="C5" s="13" t="s">
        <v>53</v>
      </c>
      <c r="D5" s="8" t="str">
        <f t="shared" si="1"/>
        <v>maria.gonzalez3@outlook.com</v>
      </c>
      <c r="G5" s="8" t="str">
        <f t="shared" si="2"/>
        <v>Unique</v>
      </c>
      <c r="I5" s="8" t="str">
        <f>IFERROR(__xludf.DUMMYFUNCTION("IF(C5="""",""Missing"",IF(REGEXMATCH(C5,""^[^@\s]+@[^@\s]+\.[^@\s]+$""),""Valid"",""Invalid""))"),"Valid")</f>
        <v>Valid</v>
      </c>
      <c r="J5" s="12" t="s">
        <v>54</v>
      </c>
      <c r="K5" s="12" t="s">
        <v>55</v>
      </c>
      <c r="L5" s="12" t="s">
        <v>56</v>
      </c>
      <c r="M5" s="8" t="str">
        <f t="shared" si="3"/>
        <v>Argentina</v>
      </c>
      <c r="N5" s="12" t="s">
        <v>57</v>
      </c>
      <c r="O5" s="12" t="s">
        <v>49</v>
      </c>
      <c r="P5" s="12" t="s">
        <v>58</v>
      </c>
      <c r="Q5" s="8" t="str">
        <f t="shared" si="4"/>
        <v>Lost</v>
      </c>
      <c r="R5" s="16">
        <v>1500.0</v>
      </c>
      <c r="S5" s="17">
        <v>46215.0</v>
      </c>
      <c r="T5" s="17">
        <v>46244.0</v>
      </c>
      <c r="U5" s="8" t="s">
        <v>30</v>
      </c>
    </row>
    <row r="6" ht="22.5" customHeight="1">
      <c r="A6" s="12" t="s">
        <v>59</v>
      </c>
      <c r="B6" s="12" t="s">
        <v>60</v>
      </c>
      <c r="C6" s="13" t="s">
        <v>61</v>
      </c>
      <c r="D6" s="8" t="str">
        <f t="shared" si="1"/>
        <v>carolina.navarro41@gmail.com</v>
      </c>
      <c r="G6" s="8" t="str">
        <f t="shared" si="2"/>
        <v>Unique</v>
      </c>
      <c r="I6" s="8" t="str">
        <f>IFERROR(__xludf.DUMMYFUNCTION("IF(C6="""",""Missing"",IF(REGEXMATCH(C6,""^[^@\s]+@[^@\s]+\.[^@\s]+$""),""Valid"",""Invalid""))"),"Valid")</f>
        <v>Valid</v>
      </c>
      <c r="J6" s="12" t="s">
        <v>62</v>
      </c>
      <c r="K6" s="12" t="s">
        <v>63</v>
      </c>
      <c r="L6" s="12" t="s">
        <v>64</v>
      </c>
      <c r="M6" s="8" t="str">
        <f t="shared" si="3"/>
        <v>Peru</v>
      </c>
      <c r="N6" s="12" t="s">
        <v>48</v>
      </c>
      <c r="O6" s="12" t="s">
        <v>49</v>
      </c>
      <c r="P6" s="12" t="s">
        <v>65</v>
      </c>
      <c r="Q6" s="8" t="str">
        <f t="shared" si="4"/>
        <v>Won</v>
      </c>
      <c r="R6" s="16">
        <v>350.0</v>
      </c>
      <c r="S6" s="17">
        <v>46174.0</v>
      </c>
      <c r="T6" s="17">
        <v>46191.0</v>
      </c>
      <c r="U6" s="8" t="s">
        <v>66</v>
      </c>
      <c r="V6" s="11" t="s">
        <v>67</v>
      </c>
    </row>
    <row r="7" ht="22.5" customHeight="1">
      <c r="A7" s="12" t="s">
        <v>68</v>
      </c>
      <c r="B7" s="12" t="s">
        <v>34</v>
      </c>
      <c r="C7" s="13" t="s">
        <v>35</v>
      </c>
      <c r="D7" s="8" t="str">
        <f t="shared" si="1"/>
        <v>camila.gonzalez86@mail.com</v>
      </c>
      <c r="G7" s="8" t="str">
        <f t="shared" si="2"/>
        <v>Duplicate</v>
      </c>
      <c r="H7" s="53" t="s">
        <v>69</v>
      </c>
      <c r="I7" s="8" t="str">
        <f>IFERROR(__xludf.DUMMYFUNCTION("IF(C7="""",""Missing"",IF(REGEXMATCH(C7,""^[^@\s]+@[^@\s]+\.[^@\s]+$""),""Valid"",""Invalid""))"),"Valid")</f>
        <v>Valid</v>
      </c>
      <c r="J7" s="12" t="s">
        <v>36</v>
      </c>
      <c r="K7" s="12" t="s">
        <v>37</v>
      </c>
      <c r="L7" s="12" t="s">
        <v>38</v>
      </c>
      <c r="M7" s="8" t="str">
        <f t="shared" si="3"/>
        <v>Chile</v>
      </c>
      <c r="N7" s="12" t="s">
        <v>39</v>
      </c>
      <c r="O7" s="12" t="s">
        <v>40</v>
      </c>
      <c r="P7" s="12" t="s">
        <v>29</v>
      </c>
      <c r="Q7" s="8" t="str">
        <f t="shared" si="4"/>
        <v>Contacted</v>
      </c>
      <c r="R7" s="16">
        <v>3000.0</v>
      </c>
      <c r="S7" s="17">
        <v>46088.0</v>
      </c>
      <c r="T7" s="17">
        <v>46113.0</v>
      </c>
      <c r="U7" s="8" t="s">
        <v>41</v>
      </c>
    </row>
    <row r="8" ht="22.5" customHeight="1">
      <c r="A8" s="12" t="s">
        <v>70</v>
      </c>
      <c r="B8" s="12" t="s">
        <v>71</v>
      </c>
      <c r="C8" s="13" t="s">
        <v>72</v>
      </c>
      <c r="D8" s="8" t="str">
        <f t="shared" si="1"/>
        <v>maria.rivera61@outlook.com</v>
      </c>
      <c r="G8" s="8" t="str">
        <f t="shared" si="2"/>
        <v>Unique</v>
      </c>
      <c r="I8" s="8" t="str">
        <f>IFERROR(__xludf.DUMMYFUNCTION("IF(C8="""",""Missing"",IF(REGEXMATCH(C8,""^[^@\s]+@[^@\s]+\.[^@\s]+$""),""Valid"",""Invalid""))"),"Valid")</f>
        <v>Valid</v>
      </c>
      <c r="J8" s="12" t="s">
        <v>73</v>
      </c>
      <c r="K8" s="12" t="s">
        <v>74</v>
      </c>
      <c r="L8" s="12" t="s">
        <v>75</v>
      </c>
      <c r="M8" s="8" t="str">
        <f t="shared" si="3"/>
        <v>United States</v>
      </c>
      <c r="N8" s="12" t="s">
        <v>39</v>
      </c>
      <c r="O8" s="12" t="s">
        <v>76</v>
      </c>
      <c r="P8" s="12" t="s">
        <v>77</v>
      </c>
      <c r="Q8" s="8" t="str">
        <f t="shared" si="4"/>
        <v>Proposal Sent</v>
      </c>
      <c r="R8" s="16">
        <v>500.0</v>
      </c>
      <c r="S8" s="17">
        <v>46052.0</v>
      </c>
      <c r="T8" s="17">
        <v>46087.0</v>
      </c>
      <c r="U8" s="8" t="s">
        <v>41</v>
      </c>
      <c r="V8" s="11" t="s">
        <v>78</v>
      </c>
    </row>
    <row r="9" ht="22.5" customHeight="1">
      <c r="A9" s="12" t="s">
        <v>79</v>
      </c>
      <c r="B9" s="12" t="s">
        <v>80</v>
      </c>
      <c r="C9" s="13" t="s">
        <v>81</v>
      </c>
      <c r="D9" s="8" t="str">
        <f t="shared" si="1"/>
        <v>camila.torres47@company.com</v>
      </c>
      <c r="G9" s="8" t="str">
        <f t="shared" si="2"/>
        <v>Duplicate</v>
      </c>
      <c r="I9" s="8" t="str">
        <f>IFERROR(__xludf.DUMMYFUNCTION("IF(C9="""",""Missing"",IF(REGEXMATCH(C9,""^[^@\s]+@[^@\s]+\.[^@\s]+$""),""Valid"",""Invalid""))"),"Valid")</f>
        <v>Valid</v>
      </c>
      <c r="J9" s="12"/>
      <c r="K9" s="12"/>
      <c r="L9" s="12" t="s">
        <v>82</v>
      </c>
      <c r="M9" s="8" t="str">
        <f t="shared" si="3"/>
        <v>Spain</v>
      </c>
      <c r="N9" s="12" t="s">
        <v>57</v>
      </c>
      <c r="O9" s="12" t="s">
        <v>40</v>
      </c>
      <c r="P9" s="12" t="s">
        <v>77</v>
      </c>
      <c r="Q9" s="8" t="str">
        <f t="shared" si="4"/>
        <v>Proposal Sent</v>
      </c>
      <c r="R9" s="16">
        <v>1500.0</v>
      </c>
      <c r="S9" s="17">
        <v>46030.0</v>
      </c>
      <c r="T9" s="17">
        <v>46043.0</v>
      </c>
      <c r="U9" s="8" t="s">
        <v>30</v>
      </c>
    </row>
    <row r="10" ht="22.5" customHeight="1">
      <c r="A10" s="12" t="s">
        <v>83</v>
      </c>
      <c r="B10" s="12" t="s">
        <v>84</v>
      </c>
      <c r="C10" s="13" t="s">
        <v>85</v>
      </c>
      <c r="D10" s="8" t="str">
        <f t="shared" si="1"/>
        <v>miguel.rodriguez72@outlook.com</v>
      </c>
      <c r="G10" s="8" t="str">
        <f t="shared" si="2"/>
        <v>Unique</v>
      </c>
      <c r="I10" s="8" t="str">
        <f>IFERROR(__xludf.DUMMYFUNCTION("IF(C10="""",""Missing"",IF(REGEXMATCH(C10,""^[^@\s]+@[^@\s]+\.[^@\s]+$""),""Valid"",""Invalid""))"),"Valid")</f>
        <v>Valid</v>
      </c>
      <c r="J10" s="12" t="s">
        <v>86</v>
      </c>
      <c r="K10" s="12" t="s">
        <v>87</v>
      </c>
      <c r="L10" s="12" t="s">
        <v>88</v>
      </c>
      <c r="M10" s="8" t="str">
        <f t="shared" si="3"/>
        <v>El Salvador</v>
      </c>
      <c r="N10" s="12" t="s">
        <v>27</v>
      </c>
      <c r="O10" s="12" t="s">
        <v>28</v>
      </c>
      <c r="P10" s="12" t="s">
        <v>29</v>
      </c>
      <c r="Q10" s="8" t="str">
        <f t="shared" si="4"/>
        <v>Contacted</v>
      </c>
      <c r="R10" s="16">
        <v>1500.0</v>
      </c>
      <c r="S10" s="17">
        <v>46095.0</v>
      </c>
      <c r="T10" s="17">
        <v>46129.0</v>
      </c>
      <c r="U10" s="8" t="s">
        <v>41</v>
      </c>
      <c r="V10" s="11" t="s">
        <v>89</v>
      </c>
    </row>
    <row r="11" ht="22.5" customHeight="1">
      <c r="A11" s="12" t="s">
        <v>90</v>
      </c>
      <c r="B11" s="12" t="s">
        <v>91</v>
      </c>
      <c r="C11" s="13" t="s">
        <v>92</v>
      </c>
      <c r="D11" s="8" t="str">
        <f t="shared" si="1"/>
        <v>manuel.lopez9@outlook.com</v>
      </c>
      <c r="G11" s="8" t="str">
        <f t="shared" si="2"/>
        <v>Unique</v>
      </c>
      <c r="I11" s="8" t="str">
        <f>IFERROR(__xludf.DUMMYFUNCTION("IF(C11="""",""Missing"",IF(REGEXMATCH(C11,""^[^@\s]+@[^@\s]+\.[^@\s]+$""),""Valid"",""Invalid""))"),"Valid")</f>
        <v>Valid</v>
      </c>
      <c r="J11" s="12" t="s">
        <v>93</v>
      </c>
      <c r="K11" s="12" t="s">
        <v>94</v>
      </c>
      <c r="L11" s="12" t="s">
        <v>56</v>
      </c>
      <c r="M11" s="8" t="str">
        <f t="shared" si="3"/>
        <v>Argentina</v>
      </c>
      <c r="N11" s="12" t="s">
        <v>57</v>
      </c>
      <c r="O11" s="12" t="s">
        <v>76</v>
      </c>
      <c r="P11" s="12" t="s">
        <v>77</v>
      </c>
      <c r="Q11" s="8" t="str">
        <f t="shared" si="4"/>
        <v>Proposal Sent</v>
      </c>
      <c r="R11" s="16">
        <v>350.0</v>
      </c>
      <c r="S11" s="17">
        <v>46180.0</v>
      </c>
      <c r="T11" s="17">
        <v>46181.0</v>
      </c>
      <c r="U11" s="8" t="s">
        <v>95</v>
      </c>
      <c r="V11" s="4">
        <f>COUNTIF(H2:H201,"REMOVE*")</f>
        <v>9</v>
      </c>
    </row>
    <row r="12" ht="22.5" customHeight="1">
      <c r="A12" s="12" t="s">
        <v>96</v>
      </c>
      <c r="B12" s="12" t="s">
        <v>97</v>
      </c>
      <c r="C12" s="13" t="s">
        <v>98</v>
      </c>
      <c r="D12" s="8" t="str">
        <f t="shared" si="1"/>
        <v>patricia.perez5@outlook.com</v>
      </c>
      <c r="G12" s="8" t="str">
        <f t="shared" si="2"/>
        <v>Unique</v>
      </c>
      <c r="I12" s="8" t="str">
        <f>IFERROR(__xludf.DUMMYFUNCTION("IF(C12="""",""Missing"",IF(REGEXMATCH(C12,""^[^@\s]+@[^@\s]+\.[^@\s]+$""),""Valid"",""Invalid""))"),"Valid")</f>
        <v>Valid</v>
      </c>
      <c r="J12" s="12" t="s">
        <v>99</v>
      </c>
      <c r="K12" s="12" t="s">
        <v>100</v>
      </c>
      <c r="L12" s="12" t="s">
        <v>82</v>
      </c>
      <c r="M12" s="8" t="str">
        <f t="shared" si="3"/>
        <v>Spain</v>
      </c>
      <c r="N12" s="12" t="s">
        <v>57</v>
      </c>
      <c r="O12" s="12" t="s">
        <v>40</v>
      </c>
      <c r="P12" s="12" t="s">
        <v>77</v>
      </c>
      <c r="Q12" s="8" t="str">
        <f t="shared" si="4"/>
        <v>Proposal Sent</v>
      </c>
      <c r="R12" s="16">
        <v>1200.0</v>
      </c>
      <c r="S12" s="17">
        <v>46160.0</v>
      </c>
      <c r="T12" s="17"/>
      <c r="U12" s="8" t="s">
        <v>66</v>
      </c>
    </row>
    <row r="13" ht="22.5" customHeight="1">
      <c r="A13" s="12" t="s">
        <v>101</v>
      </c>
      <c r="B13" s="12" t="s">
        <v>102</v>
      </c>
      <c r="C13" s="13" t="s">
        <v>103</v>
      </c>
      <c r="D13" s="8" t="str">
        <f t="shared" si="1"/>
        <v>andres.martinez22@mail.com</v>
      </c>
      <c r="G13" s="8" t="str">
        <f t="shared" si="2"/>
        <v>Unique</v>
      </c>
      <c r="I13" s="8" t="str">
        <f>IFERROR(__xludf.DUMMYFUNCTION("IF(C13="""",""Missing"",IF(REGEXMATCH(C13,""^[^@\s]+@[^@\s]+\.[^@\s]+$""),""Valid"",""Invalid""))"),"Valid")</f>
        <v>Valid</v>
      </c>
      <c r="J13" s="12" t="s">
        <v>104</v>
      </c>
      <c r="K13" s="12" t="s">
        <v>105</v>
      </c>
      <c r="L13" s="12" t="s">
        <v>56</v>
      </c>
      <c r="M13" s="8" t="str">
        <f t="shared" si="3"/>
        <v>Argentina</v>
      </c>
      <c r="N13" s="12" t="s">
        <v>106</v>
      </c>
      <c r="O13" s="12" t="s">
        <v>28</v>
      </c>
      <c r="P13" s="12" t="s">
        <v>58</v>
      </c>
      <c r="Q13" s="8" t="str">
        <f t="shared" si="4"/>
        <v>Lost</v>
      </c>
      <c r="R13" s="16">
        <v>900.0</v>
      </c>
      <c r="S13" s="17">
        <v>46179.0</v>
      </c>
      <c r="T13" s="17">
        <v>46199.0</v>
      </c>
      <c r="U13" s="8" t="s">
        <v>107</v>
      </c>
    </row>
    <row r="14" ht="22.5" customHeight="1">
      <c r="A14" s="12" t="s">
        <v>108</v>
      </c>
      <c r="B14" s="12" t="s">
        <v>109</v>
      </c>
      <c r="C14" s="13" t="s">
        <v>110</v>
      </c>
      <c r="D14" s="8" t="str">
        <f t="shared" si="1"/>
        <v>natalia.ortiz66@gmail.com</v>
      </c>
      <c r="G14" s="8" t="str">
        <f t="shared" si="2"/>
        <v>Unique</v>
      </c>
      <c r="I14" s="8" t="str">
        <f>IFERROR(__xludf.DUMMYFUNCTION("IF(C14="""",""Missing"",IF(REGEXMATCH(C14,""^[^@\s]+@[^@\s]+\.[^@\s]+$""),""Valid"",""Invalid""))"),"Valid")</f>
        <v>Valid</v>
      </c>
      <c r="J14" s="12" t="s">
        <v>111</v>
      </c>
      <c r="K14" s="12" t="s">
        <v>112</v>
      </c>
      <c r="L14" s="12" t="s">
        <v>56</v>
      </c>
      <c r="M14" s="8" t="str">
        <f t="shared" si="3"/>
        <v>Argentina</v>
      </c>
      <c r="N14" s="12" t="s">
        <v>106</v>
      </c>
      <c r="O14" s="12" t="s">
        <v>76</v>
      </c>
      <c r="P14" s="12" t="s">
        <v>65</v>
      </c>
      <c r="Q14" s="8" t="str">
        <f t="shared" si="4"/>
        <v>Won</v>
      </c>
      <c r="R14" s="16">
        <v>350.0</v>
      </c>
      <c r="S14" s="17">
        <v>46051.0</v>
      </c>
      <c r="T14" s="17">
        <v>46051.0</v>
      </c>
      <c r="U14" s="8" t="s">
        <v>107</v>
      </c>
    </row>
    <row r="15" ht="22.5" customHeight="1">
      <c r="A15" s="12" t="s">
        <v>113</v>
      </c>
      <c r="B15" s="12" t="s">
        <v>114</v>
      </c>
      <c r="C15" s="13" t="s">
        <v>81</v>
      </c>
      <c r="D15" s="8" t="str">
        <f t="shared" si="1"/>
        <v>camila.torres47@company.com</v>
      </c>
      <c r="G15" s="8" t="str">
        <f t="shared" si="2"/>
        <v>Duplicate</v>
      </c>
      <c r="H15" s="53" t="s">
        <v>69</v>
      </c>
      <c r="I15" s="8" t="str">
        <f>IFERROR(__xludf.DUMMYFUNCTION("IF(C15="""",""Missing"",IF(REGEXMATCH(C15,""^[^@\s]+@[^@\s]+\.[^@\s]+$""),""Valid"",""Invalid""))"),"Valid")</f>
        <v>Valid</v>
      </c>
      <c r="J15" s="12"/>
      <c r="K15" s="12"/>
      <c r="L15" s="12" t="s">
        <v>82</v>
      </c>
      <c r="M15" s="8" t="str">
        <f t="shared" si="3"/>
        <v>Spain</v>
      </c>
      <c r="N15" s="12" t="s">
        <v>57</v>
      </c>
      <c r="O15" s="12" t="s">
        <v>40</v>
      </c>
      <c r="P15" s="12" t="s">
        <v>77</v>
      </c>
      <c r="Q15" s="8" t="str">
        <f t="shared" si="4"/>
        <v>Proposal Sent</v>
      </c>
      <c r="R15" s="16">
        <v>1500.0</v>
      </c>
      <c r="S15" s="17">
        <v>46030.0</v>
      </c>
      <c r="T15" s="17">
        <v>46043.0</v>
      </c>
      <c r="U15" s="8" t="s">
        <v>30</v>
      </c>
    </row>
    <row r="16" ht="22.5" customHeight="1">
      <c r="A16" s="12" t="s">
        <v>115</v>
      </c>
      <c r="B16" s="12" t="s">
        <v>116</v>
      </c>
      <c r="C16" s="13" t="s">
        <v>117</v>
      </c>
      <c r="D16" s="8" t="str">
        <f t="shared" si="1"/>
        <v>sergio.ortiz49@company.com</v>
      </c>
      <c r="G16" s="8" t="str">
        <f t="shared" si="2"/>
        <v>Unique</v>
      </c>
      <c r="I16" s="8" t="str">
        <f>IFERROR(__xludf.DUMMYFUNCTION("IF(C16="""",""Missing"",IF(REGEXMATCH(C16,""^[^@\s]+@[^@\s]+\.[^@\s]+$""),""Valid"",""Invalid""))"),"Valid")</f>
        <v>Valid</v>
      </c>
      <c r="J16" s="12" t="s">
        <v>118</v>
      </c>
      <c r="K16" s="12" t="s">
        <v>119</v>
      </c>
      <c r="L16" s="12" t="s">
        <v>120</v>
      </c>
      <c r="M16" s="8" t="str">
        <f t="shared" si="3"/>
        <v>United States</v>
      </c>
      <c r="N16" s="12" t="s">
        <v>57</v>
      </c>
      <c r="O16" s="12" t="s">
        <v>28</v>
      </c>
      <c r="P16" s="12" t="s">
        <v>50</v>
      </c>
      <c r="Q16" s="8" t="str">
        <f t="shared" si="4"/>
        <v>New</v>
      </c>
      <c r="R16" s="16">
        <v>2500.0</v>
      </c>
      <c r="S16" s="17">
        <v>46070.0</v>
      </c>
      <c r="T16" s="17">
        <v>46081.0</v>
      </c>
      <c r="U16" s="8" t="s">
        <v>41</v>
      </c>
    </row>
    <row r="17" ht="22.5" customHeight="1">
      <c r="A17" s="12" t="s">
        <v>121</v>
      </c>
      <c r="B17" s="12" t="s">
        <v>122</v>
      </c>
      <c r="C17" s="13" t="s">
        <v>123</v>
      </c>
      <c r="D17" s="8" t="str">
        <f t="shared" si="1"/>
        <v>javier.diaz69@gmail.com</v>
      </c>
      <c r="G17" s="8" t="str">
        <f t="shared" si="2"/>
        <v>Unique</v>
      </c>
      <c r="I17" s="8" t="str">
        <f>IFERROR(__xludf.DUMMYFUNCTION("IF(C17="""",""Missing"",IF(REGEXMATCH(C17,""^[^@\s]+@[^@\s]+\.[^@\s]+$""),""Valid"",""Invalid""))"),"Valid")</f>
        <v>Valid</v>
      </c>
      <c r="J17" s="12" t="s">
        <v>124</v>
      </c>
      <c r="K17" s="12" t="s">
        <v>125</v>
      </c>
      <c r="L17" s="12" t="s">
        <v>126</v>
      </c>
      <c r="M17" s="8" t="str">
        <f t="shared" si="3"/>
        <v>Peru</v>
      </c>
      <c r="N17" s="12" t="s">
        <v>27</v>
      </c>
      <c r="O17" s="12" t="s">
        <v>28</v>
      </c>
      <c r="P17" s="12" t="s">
        <v>58</v>
      </c>
      <c r="Q17" s="8" t="str">
        <f t="shared" si="4"/>
        <v>Lost</v>
      </c>
      <c r="R17" s="16">
        <v>350.0</v>
      </c>
      <c r="S17" s="17">
        <v>46137.0</v>
      </c>
      <c r="T17" s="17">
        <v>46175.0</v>
      </c>
      <c r="U17" s="8" t="s">
        <v>30</v>
      </c>
    </row>
    <row r="18" ht="22.5" customHeight="1">
      <c r="A18" s="12" t="s">
        <v>127</v>
      </c>
      <c r="B18" s="12" t="s">
        <v>128</v>
      </c>
      <c r="C18" s="13" t="s">
        <v>129</v>
      </c>
      <c r="D18" s="8" t="str">
        <f t="shared" si="1"/>
        <v>javier.martinez59@mail.com</v>
      </c>
      <c r="G18" s="8" t="str">
        <f t="shared" si="2"/>
        <v>Unique</v>
      </c>
      <c r="I18" s="8" t="str">
        <f>IFERROR(__xludf.DUMMYFUNCTION("IF(C18="""",""Missing"",IF(REGEXMATCH(C18,""^[^@\s]+@[^@\s]+\.[^@\s]+$""),""Valid"",""Invalid""))"),"Valid")</f>
        <v>Valid</v>
      </c>
      <c r="J18" s="12" t="s">
        <v>130</v>
      </c>
      <c r="K18" s="12" t="s">
        <v>131</v>
      </c>
      <c r="L18" s="12" t="s">
        <v>132</v>
      </c>
      <c r="M18" s="8" t="str">
        <f t="shared" si="3"/>
        <v>Argentina</v>
      </c>
      <c r="N18" s="12" t="s">
        <v>133</v>
      </c>
      <c r="O18" s="12" t="s">
        <v>28</v>
      </c>
      <c r="P18" s="12" t="s">
        <v>134</v>
      </c>
      <c r="Q18" s="8" t="str">
        <f t="shared" si="4"/>
        <v>Qualified</v>
      </c>
      <c r="R18" s="16">
        <v>2000.0</v>
      </c>
      <c r="S18" s="17">
        <v>46045.0</v>
      </c>
      <c r="T18" s="17">
        <v>46079.0</v>
      </c>
      <c r="U18" s="8" t="s">
        <v>41</v>
      </c>
    </row>
    <row r="19" ht="22.5" customHeight="1">
      <c r="A19" s="12" t="s">
        <v>135</v>
      </c>
      <c r="B19" s="12" t="s">
        <v>136</v>
      </c>
      <c r="C19" s="13" t="s">
        <v>137</v>
      </c>
      <c r="D19" s="8" t="str">
        <f t="shared" si="1"/>
        <v>isabel.gomez32@mail.com</v>
      </c>
      <c r="G19" s="8" t="str">
        <f t="shared" si="2"/>
        <v>Unique</v>
      </c>
      <c r="I19" s="8" t="str">
        <f>IFERROR(__xludf.DUMMYFUNCTION("IF(C19="""",""Missing"",IF(REGEXMATCH(C19,""^[^@\s]+@[^@\s]+\.[^@\s]+$""),""Valid"",""Invalid""))"),"Valid")</f>
        <v>Valid</v>
      </c>
      <c r="J19" s="12" t="s">
        <v>138</v>
      </c>
      <c r="K19" s="12" t="s">
        <v>139</v>
      </c>
      <c r="L19" s="12" t="s">
        <v>140</v>
      </c>
      <c r="M19" s="8" t="str">
        <f t="shared" si="3"/>
        <v>Perú</v>
      </c>
      <c r="N19" s="12" t="s">
        <v>57</v>
      </c>
      <c r="O19" s="12" t="s">
        <v>28</v>
      </c>
      <c r="P19" s="12" t="s">
        <v>58</v>
      </c>
      <c r="Q19" s="8" t="str">
        <f t="shared" si="4"/>
        <v>Lost</v>
      </c>
      <c r="R19" s="16">
        <v>4500.0</v>
      </c>
      <c r="S19" s="17">
        <v>46245.0</v>
      </c>
      <c r="T19" s="17">
        <v>46255.0</v>
      </c>
      <c r="U19" s="8" t="s">
        <v>107</v>
      </c>
    </row>
    <row r="20" ht="22.5" customHeight="1">
      <c r="A20" s="12" t="s">
        <v>141</v>
      </c>
      <c r="B20" s="12" t="s">
        <v>142</v>
      </c>
      <c r="C20" s="13" t="s">
        <v>143</v>
      </c>
      <c r="D20" s="8" t="str">
        <f t="shared" si="1"/>
        <v>luis.rodriguez98@gmail.com</v>
      </c>
      <c r="G20" s="8" t="str">
        <f t="shared" si="2"/>
        <v>Unique</v>
      </c>
      <c r="I20" s="8" t="str">
        <f>IFERROR(__xludf.DUMMYFUNCTION("IF(C20="""",""Missing"",IF(REGEXMATCH(C20,""^[^@\s]+@[^@\s]+\.[^@\s]+$""),""Valid"",""Invalid""))"),"Valid")</f>
        <v>Valid</v>
      </c>
      <c r="J20" s="12" t="s">
        <v>144</v>
      </c>
      <c r="K20" s="12" t="s">
        <v>145</v>
      </c>
      <c r="L20" s="12" t="s">
        <v>126</v>
      </c>
      <c r="M20" s="8" t="str">
        <f t="shared" si="3"/>
        <v>Peru</v>
      </c>
      <c r="N20" s="12" t="s">
        <v>48</v>
      </c>
      <c r="O20" s="12" t="s">
        <v>76</v>
      </c>
      <c r="P20" s="12" t="s">
        <v>50</v>
      </c>
      <c r="Q20" s="8" t="str">
        <f t="shared" si="4"/>
        <v>New</v>
      </c>
      <c r="R20" s="16">
        <v>3000.0</v>
      </c>
      <c r="S20" s="17">
        <v>46037.0</v>
      </c>
      <c r="T20" s="17">
        <v>46053.0</v>
      </c>
      <c r="U20" s="8" t="s">
        <v>95</v>
      </c>
    </row>
    <row r="21" ht="15.75" customHeight="1">
      <c r="A21" s="12" t="s">
        <v>146</v>
      </c>
      <c r="B21" s="12" t="s">
        <v>147</v>
      </c>
      <c r="C21" s="13" t="s">
        <v>148</v>
      </c>
      <c r="D21" s="8" t="str">
        <f t="shared" si="1"/>
        <v>natalia.diaz38@mail.com</v>
      </c>
      <c r="G21" s="8" t="str">
        <f t="shared" si="2"/>
        <v>Unique</v>
      </c>
      <c r="I21" s="8" t="str">
        <f>IFERROR(__xludf.DUMMYFUNCTION("IF(C21="""",""Missing"",IF(REGEXMATCH(C21,""^[^@\s]+@[^@\s]+\.[^@\s]+$""),""Valid"",""Invalid""))"),"Valid")</f>
        <v>Valid</v>
      </c>
      <c r="J21" s="12" t="s">
        <v>149</v>
      </c>
      <c r="K21" s="12" t="s">
        <v>150</v>
      </c>
      <c r="L21" s="12" t="s">
        <v>151</v>
      </c>
      <c r="M21" s="8" t="str">
        <f t="shared" si="3"/>
        <v>El Salvador</v>
      </c>
      <c r="N21" s="12" t="s">
        <v>48</v>
      </c>
      <c r="O21" s="12" t="s">
        <v>28</v>
      </c>
      <c r="P21" s="12" t="s">
        <v>29</v>
      </c>
      <c r="Q21" s="8" t="str">
        <f t="shared" si="4"/>
        <v>Contacted</v>
      </c>
      <c r="R21" s="16">
        <v>1200.0</v>
      </c>
      <c r="S21" s="17">
        <v>46231.0</v>
      </c>
      <c r="T21" s="17">
        <v>46231.0</v>
      </c>
    </row>
    <row r="22" ht="15.75" customHeight="1">
      <c r="A22" s="12" t="s">
        <v>152</v>
      </c>
      <c r="B22" s="12" t="s">
        <v>153</v>
      </c>
      <c r="C22" s="13" t="s">
        <v>154</v>
      </c>
      <c r="D22" s="8" t="str">
        <f t="shared" si="1"/>
        <v>daniel.flores94@outlook.com</v>
      </c>
      <c r="G22" s="8" t="str">
        <f t="shared" si="2"/>
        <v>Unique</v>
      </c>
      <c r="I22" s="8" t="str">
        <f>IFERROR(__xludf.DUMMYFUNCTION("IF(C22="""",""Missing"",IF(REGEXMATCH(C22,""^[^@\s]+@[^@\s]+\.[^@\s]+$""),""Valid"",""Invalid""))"),"Valid")</f>
        <v>Valid</v>
      </c>
      <c r="J22" s="12" t="s">
        <v>155</v>
      </c>
      <c r="K22" s="12" t="s">
        <v>156</v>
      </c>
      <c r="L22" s="12" t="s">
        <v>47</v>
      </c>
      <c r="M22" s="8" t="str">
        <f t="shared" si="3"/>
        <v>El Salvador</v>
      </c>
      <c r="N22" s="12" t="s">
        <v>39</v>
      </c>
      <c r="O22" s="12" t="s">
        <v>76</v>
      </c>
      <c r="P22" s="12" t="s">
        <v>50</v>
      </c>
      <c r="Q22" s="8" t="str">
        <f t="shared" si="4"/>
        <v>New</v>
      </c>
      <c r="R22" s="16">
        <v>500.0</v>
      </c>
      <c r="S22" s="17">
        <v>46232.0</v>
      </c>
      <c r="T22" s="17">
        <v>46263.0</v>
      </c>
      <c r="U22" s="8" t="s">
        <v>95</v>
      </c>
    </row>
    <row r="23" ht="15.75" customHeight="1">
      <c r="A23" s="12" t="s">
        <v>157</v>
      </c>
      <c r="B23" s="12" t="s">
        <v>158</v>
      </c>
      <c r="C23" s="13" t="s">
        <v>159</v>
      </c>
      <c r="D23" s="8" t="str">
        <f t="shared" si="1"/>
        <v>carlos.perez33@gmail.com</v>
      </c>
      <c r="G23" s="8" t="str">
        <f t="shared" si="2"/>
        <v>Duplicate</v>
      </c>
      <c r="I23" s="8" t="str">
        <f>IFERROR(__xludf.DUMMYFUNCTION("IF(C23="""",""Missing"",IF(REGEXMATCH(C23,""^[^@\s]+@[^@\s]+\.[^@\s]+$""),""Valid"",""Invalid""))"),"Valid")</f>
        <v>Valid</v>
      </c>
      <c r="J23" s="12" t="s">
        <v>160</v>
      </c>
      <c r="K23" s="12" t="s">
        <v>161</v>
      </c>
      <c r="L23" s="12" t="s">
        <v>162</v>
      </c>
      <c r="M23" s="8" t="str">
        <f t="shared" si="3"/>
        <v>United States</v>
      </c>
      <c r="N23" s="12" t="s">
        <v>48</v>
      </c>
      <c r="O23" s="12" t="s">
        <v>28</v>
      </c>
      <c r="P23" s="12" t="s">
        <v>134</v>
      </c>
      <c r="Q23" s="8" t="str">
        <f t="shared" si="4"/>
        <v>Qualified</v>
      </c>
      <c r="R23" s="16">
        <v>1500.0</v>
      </c>
      <c r="S23" s="17">
        <v>46253.0</v>
      </c>
      <c r="T23" s="17">
        <v>46275.0</v>
      </c>
      <c r="U23" s="8" t="s">
        <v>66</v>
      </c>
    </row>
    <row r="24" ht="15.75" customHeight="1">
      <c r="A24" s="12" t="s">
        <v>163</v>
      </c>
      <c r="B24" s="12" t="s">
        <v>164</v>
      </c>
      <c r="C24" s="13" t="s">
        <v>165</v>
      </c>
      <c r="D24" s="8" t="str">
        <f t="shared" si="1"/>
        <v>raul.hernandez69@company.com</v>
      </c>
      <c r="G24" s="8" t="str">
        <f t="shared" si="2"/>
        <v>Unique</v>
      </c>
      <c r="I24" s="8" t="str">
        <f>IFERROR(__xludf.DUMMYFUNCTION("IF(C24="""",""Missing"",IF(REGEXMATCH(C24,""^[^@\s]+@[^@\s]+\.[^@\s]+$""),""Valid"",""Invalid""))"),"Valid")</f>
        <v>Valid</v>
      </c>
      <c r="J24" s="12" t="s">
        <v>166</v>
      </c>
      <c r="K24" s="12" t="s">
        <v>167</v>
      </c>
      <c r="L24" s="12" t="s">
        <v>168</v>
      </c>
      <c r="M24" s="8" t="str">
        <f t="shared" si="3"/>
        <v>Argentina</v>
      </c>
      <c r="N24" s="12" t="s">
        <v>27</v>
      </c>
      <c r="O24" s="12" t="s">
        <v>49</v>
      </c>
      <c r="P24" s="12" t="s">
        <v>29</v>
      </c>
      <c r="Q24" s="8" t="str">
        <f t="shared" si="4"/>
        <v>Contacted</v>
      </c>
      <c r="R24" s="16">
        <v>750.0</v>
      </c>
      <c r="S24" s="17">
        <v>46149.0</v>
      </c>
      <c r="T24" s="17">
        <v>46157.0</v>
      </c>
      <c r="U24" s="8" t="s">
        <v>66</v>
      </c>
    </row>
    <row r="25" ht="15.75" customHeight="1">
      <c r="A25" s="12" t="s">
        <v>169</v>
      </c>
      <c r="B25" s="12" t="s">
        <v>170</v>
      </c>
      <c r="C25" s="13" t="s">
        <v>171</v>
      </c>
      <c r="D25" s="8" t="str">
        <f t="shared" si="1"/>
        <v>sergio.hernandez12@outlook.com</v>
      </c>
      <c r="G25" s="8" t="str">
        <f t="shared" si="2"/>
        <v>Unique</v>
      </c>
      <c r="I25" s="8" t="str">
        <f>IFERROR(__xludf.DUMMYFUNCTION("IF(C25="""",""Missing"",IF(REGEXMATCH(C25,""^[^@\s]+@[^@\s]+\.[^@\s]+$""),""Valid"",""Invalid""))"),"Valid")</f>
        <v>Valid</v>
      </c>
      <c r="J25" s="12" t="s">
        <v>172</v>
      </c>
      <c r="K25" s="12" t="s">
        <v>173</v>
      </c>
      <c r="L25" s="12" t="s">
        <v>174</v>
      </c>
      <c r="M25" s="8" t="str">
        <f t="shared" si="3"/>
        <v>Colombia</v>
      </c>
      <c r="N25" s="12" t="s">
        <v>57</v>
      </c>
      <c r="O25" s="12" t="s">
        <v>76</v>
      </c>
      <c r="P25" s="12" t="s">
        <v>65</v>
      </c>
      <c r="Q25" s="8" t="str">
        <f t="shared" si="4"/>
        <v>Won</v>
      </c>
      <c r="R25" s="16">
        <v>2500.0</v>
      </c>
      <c r="S25" s="17">
        <v>46033.0</v>
      </c>
      <c r="T25" s="17">
        <v>46069.0</v>
      </c>
      <c r="U25" s="8" t="s">
        <v>66</v>
      </c>
    </row>
    <row r="26" ht="15.75" customHeight="1">
      <c r="A26" s="12" t="s">
        <v>176</v>
      </c>
      <c r="B26" s="12" t="s">
        <v>177</v>
      </c>
      <c r="C26" s="13" t="s">
        <v>178</v>
      </c>
      <c r="D26" s="8" t="str">
        <f t="shared" si="1"/>
        <v>paula.diaz76@mail.com</v>
      </c>
      <c r="G26" s="8" t="str">
        <f t="shared" si="2"/>
        <v>Unique</v>
      </c>
      <c r="I26" s="8" t="str">
        <f>IFERROR(__xludf.DUMMYFUNCTION("IF(C26="""",""Missing"",IF(REGEXMATCH(C26,""^[^@\s]+@[^@\s]+\.[^@\s]+$""),""Valid"",""Invalid""))"),"Valid")</f>
        <v>Valid</v>
      </c>
      <c r="J26" s="12"/>
      <c r="K26" s="12" t="s">
        <v>179</v>
      </c>
      <c r="L26" s="12" t="s">
        <v>175</v>
      </c>
      <c r="M26" s="8" t="str">
        <f t="shared" si="3"/>
        <v>Peru</v>
      </c>
      <c r="N26" s="12" t="s">
        <v>48</v>
      </c>
      <c r="O26" s="12" t="s">
        <v>40</v>
      </c>
      <c r="P26" s="12" t="s">
        <v>134</v>
      </c>
      <c r="Q26" s="8" t="str">
        <f t="shared" si="4"/>
        <v>Qualified</v>
      </c>
      <c r="R26" s="16">
        <v>4500.0</v>
      </c>
      <c r="S26" s="17">
        <v>46032.0</v>
      </c>
      <c r="T26" s="17">
        <v>46068.0</v>
      </c>
    </row>
    <row r="27" ht="15.75" customHeight="1">
      <c r="A27" s="12" t="s">
        <v>180</v>
      </c>
      <c r="B27" s="12" t="s">
        <v>181</v>
      </c>
      <c r="C27" s="13" t="s">
        <v>182</v>
      </c>
      <c r="D27" s="8" t="str">
        <f t="shared" si="1"/>
        <v>diego.garcia78@gmail.com</v>
      </c>
      <c r="G27" s="8" t="str">
        <f t="shared" si="2"/>
        <v>Unique</v>
      </c>
      <c r="I27" s="8" t="str">
        <f>IFERROR(__xludf.DUMMYFUNCTION("IF(C27="""",""Missing"",IF(REGEXMATCH(C27,""^[^@\s]+@[^@\s]+\.[^@\s]+$""),""Valid"",""Invalid""))"),"Valid")</f>
        <v>Valid</v>
      </c>
      <c r="J27" s="12" t="s">
        <v>183</v>
      </c>
      <c r="K27" s="12" t="s">
        <v>184</v>
      </c>
      <c r="L27" s="12" t="s">
        <v>56</v>
      </c>
      <c r="M27" s="8" t="str">
        <f t="shared" si="3"/>
        <v>Argentina</v>
      </c>
      <c r="N27" s="12" t="s">
        <v>27</v>
      </c>
      <c r="O27" s="12" t="s">
        <v>40</v>
      </c>
      <c r="P27" s="12" t="s">
        <v>50</v>
      </c>
      <c r="Q27" s="8" t="str">
        <f t="shared" si="4"/>
        <v>New</v>
      </c>
      <c r="R27" s="16">
        <v>1500.0</v>
      </c>
      <c r="S27" s="17">
        <v>46253.0</v>
      </c>
      <c r="T27" s="17">
        <v>46286.0</v>
      </c>
      <c r="U27" s="8" t="s">
        <v>41</v>
      </c>
    </row>
    <row r="28" ht="15.75" customHeight="1">
      <c r="A28" s="12" t="s">
        <v>185</v>
      </c>
      <c r="B28" s="12" t="s">
        <v>186</v>
      </c>
      <c r="C28" s="52" t="s">
        <v>187</v>
      </c>
      <c r="D28" s="8" t="str">
        <f t="shared" si="1"/>
        <v>daniel.perez13 @ gmail.com</v>
      </c>
      <c r="E28" s="53" t="s">
        <v>188</v>
      </c>
      <c r="F28" s="54" t="s">
        <v>189</v>
      </c>
      <c r="G28" s="8" t="str">
        <f t="shared" si="2"/>
        <v>Unique</v>
      </c>
      <c r="I28" s="8" t="str">
        <f>IFERROR(__xludf.DUMMYFUNCTION("IF(C28="""",""Missing"",IF(REGEXMATCH(C28,""^[^@\s]+@[^@\s]+\.[^@\s]+$""),""Valid"",""Invalid""))"),"Invalid")</f>
        <v>Invalid</v>
      </c>
      <c r="J28" s="12"/>
      <c r="K28" s="12" t="s">
        <v>190</v>
      </c>
      <c r="L28" s="12" t="s">
        <v>168</v>
      </c>
      <c r="M28" s="8" t="str">
        <f t="shared" si="3"/>
        <v>Argentina</v>
      </c>
      <c r="N28" s="12" t="s">
        <v>39</v>
      </c>
      <c r="O28" s="12" t="s">
        <v>76</v>
      </c>
      <c r="P28" s="12" t="s">
        <v>65</v>
      </c>
      <c r="Q28" s="8" t="str">
        <f t="shared" si="4"/>
        <v>Won</v>
      </c>
      <c r="R28" s="16">
        <v>350.0</v>
      </c>
      <c r="S28" s="17">
        <v>46121.0</v>
      </c>
      <c r="T28" s="17">
        <v>46153.0</v>
      </c>
      <c r="U28" s="8" t="s">
        <v>107</v>
      </c>
    </row>
    <row r="29" ht="15.75" customHeight="1">
      <c r="A29" s="12" t="s">
        <v>191</v>
      </c>
      <c r="B29" s="12" t="s">
        <v>192</v>
      </c>
      <c r="C29" s="13" t="s">
        <v>193</v>
      </c>
      <c r="D29" s="8" t="str">
        <f t="shared" si="1"/>
        <v>fernando.morales39@company.com</v>
      </c>
      <c r="G29" s="8" t="str">
        <f t="shared" si="2"/>
        <v>Unique</v>
      </c>
      <c r="I29" s="8" t="str">
        <f>IFERROR(__xludf.DUMMYFUNCTION("IF(C29="""",""Missing"",IF(REGEXMATCH(C29,""^[^@\s]+@[^@\s]+\.[^@\s]+$""),""Valid"",""Invalid""))"),"Valid")</f>
        <v>Valid</v>
      </c>
      <c r="J29" s="12" t="s">
        <v>194</v>
      </c>
      <c r="K29" s="12" t="s">
        <v>195</v>
      </c>
      <c r="L29" s="12" t="s">
        <v>56</v>
      </c>
      <c r="M29" s="8" t="str">
        <f t="shared" si="3"/>
        <v>Argentina</v>
      </c>
      <c r="N29" s="12" t="s">
        <v>57</v>
      </c>
      <c r="O29" s="12" t="s">
        <v>49</v>
      </c>
      <c r="P29" s="12" t="s">
        <v>65</v>
      </c>
      <c r="Q29" s="8" t="str">
        <f t="shared" si="4"/>
        <v>Won</v>
      </c>
      <c r="R29" s="16">
        <v>4500.0</v>
      </c>
      <c r="S29" s="17">
        <v>46206.0</v>
      </c>
      <c r="T29" s="17">
        <v>46206.0</v>
      </c>
      <c r="U29" s="8" t="s">
        <v>66</v>
      </c>
    </row>
    <row r="30" ht="15.75" customHeight="1">
      <c r="A30" s="12" t="s">
        <v>196</v>
      </c>
      <c r="B30" s="12" t="s">
        <v>197</v>
      </c>
      <c r="C30" s="13" t="s">
        <v>198</v>
      </c>
      <c r="D30" s="8" t="str">
        <f t="shared" si="1"/>
        <v>alejandro.torres56@company.com</v>
      </c>
      <c r="G30" s="8" t="str">
        <f t="shared" si="2"/>
        <v>Unique</v>
      </c>
      <c r="I30" s="8" t="str">
        <f>IFERROR(__xludf.DUMMYFUNCTION("IF(C30="""",""Missing"",IF(REGEXMATCH(C30,""^[^@\s]+@[^@\s]+\.[^@\s]+$""),""Valid"",""Invalid""))"),"Valid")</f>
        <v>Valid</v>
      </c>
      <c r="J30" s="12" t="s">
        <v>199</v>
      </c>
      <c r="K30" s="12" t="s">
        <v>200</v>
      </c>
      <c r="L30" s="12" t="s">
        <v>201</v>
      </c>
      <c r="M30" s="8" t="str">
        <f t="shared" si="3"/>
        <v>Mexico</v>
      </c>
      <c r="N30" s="12" t="s">
        <v>27</v>
      </c>
      <c r="O30" s="12" t="s">
        <v>49</v>
      </c>
      <c r="P30" s="12" t="s">
        <v>134</v>
      </c>
      <c r="Q30" s="8" t="str">
        <f t="shared" si="4"/>
        <v>Qualified</v>
      </c>
      <c r="R30" s="16">
        <v>3000.0</v>
      </c>
      <c r="S30" s="17">
        <v>46103.0</v>
      </c>
      <c r="T30" s="17">
        <v>46112.0</v>
      </c>
    </row>
    <row r="31" ht="15.75" customHeight="1">
      <c r="A31" s="12" t="s">
        <v>202</v>
      </c>
      <c r="B31" s="12" t="s">
        <v>203</v>
      </c>
      <c r="C31" s="13" t="s">
        <v>204</v>
      </c>
      <c r="D31" s="8" t="str">
        <f t="shared" si="1"/>
        <v>alejandro.ramirez44@company.com</v>
      </c>
      <c r="G31" s="8" t="str">
        <f t="shared" si="2"/>
        <v>Unique</v>
      </c>
      <c r="I31" s="8" t="str">
        <f>IFERROR(__xludf.DUMMYFUNCTION("IF(C31="""",""Missing"",IF(REGEXMATCH(C31,""^[^@\s]+@[^@\s]+\.[^@\s]+$""),""Valid"",""Invalid""))"),"Valid")</f>
        <v>Valid</v>
      </c>
      <c r="J31" s="12"/>
      <c r="K31" s="12"/>
      <c r="L31" s="12" t="s">
        <v>205</v>
      </c>
      <c r="M31" s="8" t="str">
        <f t="shared" si="3"/>
        <v>Chile</v>
      </c>
      <c r="N31" s="12" t="s">
        <v>133</v>
      </c>
      <c r="O31" s="12" t="s">
        <v>76</v>
      </c>
      <c r="P31" s="12" t="s">
        <v>50</v>
      </c>
      <c r="Q31" s="8" t="str">
        <f t="shared" si="4"/>
        <v>New</v>
      </c>
      <c r="R31" s="16">
        <v>2500.0</v>
      </c>
      <c r="S31" s="17">
        <v>46134.0</v>
      </c>
      <c r="T31" s="17">
        <v>46169.0</v>
      </c>
      <c r="U31" s="8" t="s">
        <v>66</v>
      </c>
    </row>
    <row r="32" ht="15.75" customHeight="1">
      <c r="A32" s="12" t="s">
        <v>206</v>
      </c>
      <c r="B32" s="12" t="s">
        <v>207</v>
      </c>
      <c r="C32" s="13" t="s">
        <v>208</v>
      </c>
      <c r="D32" s="8" t="str">
        <f t="shared" si="1"/>
        <v>raul.rodriguez57@gmail.com</v>
      </c>
      <c r="G32" s="8" t="str">
        <f t="shared" si="2"/>
        <v>Unique</v>
      </c>
      <c r="I32" s="8" t="str">
        <f>IFERROR(__xludf.DUMMYFUNCTION("IF(C32="""",""Missing"",IF(REGEXMATCH(C32,""^[^@\s]+@[^@\s]+\.[^@\s]+$""),""Valid"",""Invalid""))"),"Valid")</f>
        <v>Valid</v>
      </c>
      <c r="J32" s="12" t="s">
        <v>209</v>
      </c>
      <c r="K32" s="12" t="s">
        <v>210</v>
      </c>
      <c r="L32" s="12" t="s">
        <v>211</v>
      </c>
      <c r="M32" s="8" t="str">
        <f t="shared" si="3"/>
        <v>Mexico</v>
      </c>
      <c r="N32" s="12" t="s">
        <v>133</v>
      </c>
      <c r="O32" s="12" t="s">
        <v>28</v>
      </c>
      <c r="P32" s="12" t="s">
        <v>77</v>
      </c>
      <c r="Q32" s="8" t="str">
        <f t="shared" si="4"/>
        <v>Proposal Sent</v>
      </c>
      <c r="R32" s="16">
        <v>750.0</v>
      </c>
      <c r="S32" s="17">
        <v>46183.0</v>
      </c>
      <c r="T32" s="17">
        <v>46216.0</v>
      </c>
    </row>
    <row r="33" ht="15.75" customHeight="1">
      <c r="A33" s="12" t="s">
        <v>212</v>
      </c>
      <c r="B33" s="12" t="s">
        <v>213</v>
      </c>
      <c r="C33" s="13" t="s">
        <v>214</v>
      </c>
      <c r="D33" s="8" t="str">
        <f t="shared" si="1"/>
        <v>diego.navarro64@mail.com</v>
      </c>
      <c r="G33" s="8" t="str">
        <f t="shared" si="2"/>
        <v>Unique</v>
      </c>
      <c r="I33" s="8" t="str">
        <f>IFERROR(__xludf.DUMMYFUNCTION("IF(C33="""",""Missing"",IF(REGEXMATCH(C33,""^[^@\s]+@[^@\s]+\.[^@\s]+$""),""Valid"",""Invalid""))"),"Valid")</f>
        <v>Valid</v>
      </c>
      <c r="J33" s="12"/>
      <c r="K33" s="12" t="s">
        <v>215</v>
      </c>
      <c r="L33" s="12" t="s">
        <v>216</v>
      </c>
      <c r="M33" s="8" t="str">
        <f t="shared" si="3"/>
        <v>Salvador</v>
      </c>
      <c r="N33" s="12" t="s">
        <v>27</v>
      </c>
      <c r="O33" s="12" t="s">
        <v>217</v>
      </c>
      <c r="P33" s="12" t="s">
        <v>50</v>
      </c>
      <c r="Q33" s="8" t="str">
        <f t="shared" si="4"/>
        <v>New</v>
      </c>
      <c r="R33" s="16"/>
      <c r="S33" s="17">
        <v>46095.0</v>
      </c>
      <c r="T33" s="17">
        <v>46099.0</v>
      </c>
      <c r="U33" s="8" t="s">
        <v>66</v>
      </c>
    </row>
    <row r="34" ht="15.75" customHeight="1">
      <c r="A34" s="12" t="s">
        <v>218</v>
      </c>
      <c r="B34" s="12" t="s">
        <v>219</v>
      </c>
      <c r="C34" s="13" t="s">
        <v>221</v>
      </c>
      <c r="D34" s="8" t="str">
        <f t="shared" si="1"/>
        <v>andres.sanchez74@outlook.com</v>
      </c>
      <c r="G34" s="8" t="str">
        <f t="shared" si="2"/>
        <v>Unique</v>
      </c>
      <c r="I34" s="8" t="str">
        <f>IFERROR(__xludf.DUMMYFUNCTION("IF(C34="""",""Missing"",IF(REGEXMATCH(C34,""^[^@\s]+@[^@\s]+\.[^@\s]+$""),""Valid"",""Invalid""))"),"Valid")</f>
        <v>Valid</v>
      </c>
      <c r="J34" s="12" t="s">
        <v>222</v>
      </c>
      <c r="K34" s="12" t="s">
        <v>223</v>
      </c>
      <c r="L34" s="12" t="s">
        <v>120</v>
      </c>
      <c r="M34" s="8" t="str">
        <f t="shared" si="3"/>
        <v>United States</v>
      </c>
      <c r="N34" s="12" t="s">
        <v>27</v>
      </c>
      <c r="O34" s="12" t="s">
        <v>217</v>
      </c>
      <c r="P34" s="12" t="s">
        <v>65</v>
      </c>
      <c r="Q34" s="8" t="str">
        <f t="shared" si="4"/>
        <v>Won</v>
      </c>
      <c r="R34" s="16">
        <v>750.0</v>
      </c>
      <c r="S34" s="17">
        <v>46190.0</v>
      </c>
      <c r="T34" s="17">
        <v>46192.0</v>
      </c>
      <c r="U34" s="8" t="s">
        <v>41</v>
      </c>
    </row>
    <row r="35" ht="15.75" customHeight="1">
      <c r="A35" s="12" t="s">
        <v>224</v>
      </c>
      <c r="B35" s="12" t="s">
        <v>225</v>
      </c>
      <c r="C35" s="13" t="s">
        <v>226</v>
      </c>
      <c r="D35" s="8" t="str">
        <f t="shared" si="1"/>
        <v>manuel.morales27@gmail.com</v>
      </c>
      <c r="G35" s="8" t="str">
        <f t="shared" si="2"/>
        <v>Unique</v>
      </c>
      <c r="I35" s="8" t="str">
        <f>IFERROR(__xludf.DUMMYFUNCTION("IF(C35="""",""Missing"",IF(REGEXMATCH(C35,""^[^@\s]+@[^@\s]+\.[^@\s]+$""),""Valid"",""Invalid""))"),"Valid")</f>
        <v>Valid</v>
      </c>
      <c r="J35" s="12" t="s">
        <v>227</v>
      </c>
      <c r="K35" s="12" t="s">
        <v>228</v>
      </c>
      <c r="L35" s="12" t="s">
        <v>64</v>
      </c>
      <c r="M35" s="8" t="str">
        <f t="shared" si="3"/>
        <v>Peru</v>
      </c>
      <c r="N35" s="12" t="s">
        <v>57</v>
      </c>
      <c r="O35" s="12" t="s">
        <v>49</v>
      </c>
      <c r="P35" s="12" t="s">
        <v>65</v>
      </c>
      <c r="Q35" s="8" t="str">
        <f t="shared" si="4"/>
        <v>Won</v>
      </c>
      <c r="R35" s="16">
        <v>3000.0</v>
      </c>
      <c r="S35" s="17">
        <v>46030.0</v>
      </c>
      <c r="T35" s="17">
        <v>46052.0</v>
      </c>
      <c r="U35" s="8" t="s">
        <v>30</v>
      </c>
    </row>
    <row r="36" ht="15.75" customHeight="1">
      <c r="A36" s="12" t="s">
        <v>229</v>
      </c>
      <c r="B36" s="12" t="s">
        <v>230</v>
      </c>
      <c r="C36" s="13" t="s">
        <v>231</v>
      </c>
      <c r="D36" s="8" t="str">
        <f t="shared" si="1"/>
        <v>alejandro.sanchez42@mail.com</v>
      </c>
      <c r="G36" s="8" t="str">
        <f t="shared" si="2"/>
        <v>Unique</v>
      </c>
      <c r="I36" s="8" t="str">
        <f>IFERROR(__xludf.DUMMYFUNCTION("IF(C36="""",""Missing"",IF(REGEXMATCH(C36,""^[^@\s]+@[^@\s]+\.[^@\s]+$""),""Valid"",""Invalid""))"),"Valid")</f>
        <v>Valid</v>
      </c>
      <c r="J36" s="12" t="s">
        <v>232</v>
      </c>
      <c r="K36" s="12" t="s">
        <v>105</v>
      </c>
      <c r="L36" s="12" t="s">
        <v>174</v>
      </c>
      <c r="M36" s="8" t="str">
        <f t="shared" si="3"/>
        <v>Colombia</v>
      </c>
      <c r="N36" s="12" t="s">
        <v>39</v>
      </c>
      <c r="O36" s="12" t="s">
        <v>76</v>
      </c>
      <c r="P36" s="12" t="s">
        <v>58</v>
      </c>
      <c r="Q36" s="8" t="str">
        <f t="shared" si="4"/>
        <v>Lost</v>
      </c>
      <c r="R36" s="16">
        <v>500.0</v>
      </c>
      <c r="S36" s="17">
        <v>46092.0</v>
      </c>
      <c r="T36" s="17">
        <v>46135.0</v>
      </c>
    </row>
    <row r="37" ht="15.75" customHeight="1">
      <c r="A37" s="12" t="s">
        <v>233</v>
      </c>
      <c r="B37" s="12" t="s">
        <v>234</v>
      </c>
      <c r="C37" s="13" t="s">
        <v>235</v>
      </c>
      <c r="D37" s="8" t="str">
        <f t="shared" si="1"/>
        <v>patricia.diaz43@company.com</v>
      </c>
      <c r="G37" s="8" t="str">
        <f t="shared" si="2"/>
        <v>Unique</v>
      </c>
      <c r="I37" s="8" t="str">
        <f>IFERROR(__xludf.DUMMYFUNCTION("IF(C37="""",""Missing"",IF(REGEXMATCH(C37,""^[^@\s]+@[^@\s]+\.[^@\s]+$""),""Valid"",""Invalid""))"),"Valid")</f>
        <v>Valid</v>
      </c>
      <c r="J37" s="12" t="s">
        <v>236</v>
      </c>
      <c r="K37" s="12" t="s">
        <v>237</v>
      </c>
      <c r="L37" s="12" t="s">
        <v>47</v>
      </c>
      <c r="M37" s="8" t="str">
        <f t="shared" si="3"/>
        <v>El Salvador</v>
      </c>
      <c r="N37" s="12" t="s">
        <v>27</v>
      </c>
      <c r="O37" s="12" t="s">
        <v>217</v>
      </c>
      <c r="P37" s="12" t="s">
        <v>77</v>
      </c>
      <c r="Q37" s="8" t="str">
        <f t="shared" si="4"/>
        <v>Proposal Sent</v>
      </c>
      <c r="R37" s="16">
        <v>4500.0</v>
      </c>
      <c r="S37" s="17">
        <v>46035.0</v>
      </c>
      <c r="T37" s="17">
        <v>46080.0</v>
      </c>
      <c r="U37" s="8" t="s">
        <v>95</v>
      </c>
    </row>
    <row r="38" ht="15.75" customHeight="1">
      <c r="A38" s="12" t="s">
        <v>238</v>
      </c>
      <c r="B38" s="12" t="s">
        <v>239</v>
      </c>
      <c r="C38" s="13" t="s">
        <v>240</v>
      </c>
      <c r="D38" s="8" t="str">
        <f t="shared" si="1"/>
        <v>david.torres10@company.com</v>
      </c>
      <c r="G38" s="8" t="str">
        <f t="shared" si="2"/>
        <v>Unique</v>
      </c>
      <c r="I38" s="8" t="str">
        <f>IFERROR(__xludf.DUMMYFUNCTION("IF(C38="""",""Missing"",IF(REGEXMATCH(C38,""^[^@\s]+@[^@\s]+\.[^@\s]+$""),""Valid"",""Invalid""))"),"Valid")</f>
        <v>Valid</v>
      </c>
      <c r="J38" s="12" t="s">
        <v>241</v>
      </c>
      <c r="K38" s="12" t="s">
        <v>242</v>
      </c>
      <c r="L38" s="12" t="s">
        <v>26</v>
      </c>
      <c r="M38" s="8" t="str">
        <f t="shared" si="3"/>
        <v>Chile</v>
      </c>
      <c r="N38" s="12" t="s">
        <v>48</v>
      </c>
      <c r="O38" s="12" t="s">
        <v>217</v>
      </c>
      <c r="P38" s="12" t="s">
        <v>58</v>
      </c>
      <c r="Q38" s="8" t="str">
        <f t="shared" si="4"/>
        <v>Lost</v>
      </c>
      <c r="R38" s="16">
        <v>3000.0</v>
      </c>
      <c r="S38" s="17">
        <v>46134.0</v>
      </c>
      <c r="T38" s="17">
        <v>46154.0</v>
      </c>
      <c r="U38" s="8" t="s">
        <v>41</v>
      </c>
    </row>
    <row r="39" ht="15.75" customHeight="1">
      <c r="A39" s="12" t="s">
        <v>243</v>
      </c>
      <c r="B39" s="12" t="s">
        <v>244</v>
      </c>
      <c r="C39" s="13" t="s">
        <v>245</v>
      </c>
      <c r="D39" s="8" t="str">
        <f t="shared" si="1"/>
        <v>fernando.romero63@gmail.com</v>
      </c>
      <c r="G39" s="8" t="str">
        <f t="shared" si="2"/>
        <v>Unique</v>
      </c>
      <c r="I39" s="8" t="str">
        <f>IFERROR(__xludf.DUMMYFUNCTION("IF(C39="""",""Missing"",IF(REGEXMATCH(C39,""^[^@\s]+@[^@\s]+\.[^@\s]+$""),""Valid"",""Invalid""))"),"Valid")</f>
        <v>Valid</v>
      </c>
      <c r="J39" s="12" t="s">
        <v>246</v>
      </c>
      <c r="K39" s="12" t="s">
        <v>247</v>
      </c>
      <c r="L39" s="12" t="s">
        <v>248</v>
      </c>
      <c r="M39" s="8" t="str">
        <f t="shared" si="3"/>
        <v>Colombia</v>
      </c>
      <c r="N39" s="12" t="s">
        <v>106</v>
      </c>
      <c r="O39" s="12" t="s">
        <v>76</v>
      </c>
      <c r="P39" s="12" t="s">
        <v>77</v>
      </c>
      <c r="Q39" s="8" t="str">
        <f t="shared" si="4"/>
        <v>Proposal Sent</v>
      </c>
      <c r="R39" s="16">
        <v>350.0</v>
      </c>
      <c r="S39" s="17">
        <v>46153.0</v>
      </c>
      <c r="T39" s="17">
        <v>46161.0</v>
      </c>
      <c r="U39" s="8" t="s">
        <v>107</v>
      </c>
    </row>
    <row r="40" ht="15.75" customHeight="1">
      <c r="A40" s="12" t="s">
        <v>249</v>
      </c>
      <c r="B40" s="12" t="s">
        <v>250</v>
      </c>
      <c r="C40" s="13" t="s">
        <v>251</v>
      </c>
      <c r="D40" s="8" t="str">
        <f t="shared" si="1"/>
        <v>fernando.rivera80@company.com</v>
      </c>
      <c r="G40" s="8" t="str">
        <f t="shared" si="2"/>
        <v>Unique</v>
      </c>
      <c r="I40" s="8" t="str">
        <f>IFERROR(__xludf.DUMMYFUNCTION("IF(C40="""",""Missing"",IF(REGEXMATCH(C40,""^[^@\s]+@[^@\s]+\.[^@\s]+$""),""Valid"",""Invalid""))"),"Valid")</f>
        <v>Valid</v>
      </c>
      <c r="J40" s="12" t="s">
        <v>252</v>
      </c>
      <c r="K40" s="12"/>
      <c r="L40" s="12" t="s">
        <v>174</v>
      </c>
      <c r="M40" s="8" t="str">
        <f t="shared" si="3"/>
        <v>Colombia</v>
      </c>
      <c r="N40" s="12" t="s">
        <v>39</v>
      </c>
      <c r="O40" s="12" t="s">
        <v>40</v>
      </c>
      <c r="P40" s="12" t="s">
        <v>65</v>
      </c>
      <c r="Q40" s="8" t="str">
        <f t="shared" si="4"/>
        <v>Won</v>
      </c>
      <c r="R40" s="16">
        <v>350.0</v>
      </c>
      <c r="S40" s="17">
        <v>46090.0</v>
      </c>
      <c r="T40" s="17">
        <v>46090.0</v>
      </c>
      <c r="U40" s="8" t="s">
        <v>66</v>
      </c>
    </row>
    <row r="41" ht="15.75" customHeight="1">
      <c r="A41" s="12" t="s">
        <v>254</v>
      </c>
      <c r="B41" s="12" t="s">
        <v>255</v>
      </c>
      <c r="C41" s="13" t="s">
        <v>256</v>
      </c>
      <c r="D41" s="8" t="str">
        <f t="shared" si="1"/>
        <v>isabel.ortiz36@mail.com</v>
      </c>
      <c r="G41" s="8" t="str">
        <f t="shared" si="2"/>
        <v>Unique</v>
      </c>
      <c r="I41" s="8" t="str">
        <f>IFERROR(__xludf.DUMMYFUNCTION("IF(C41="""",""Missing"",IF(REGEXMATCH(C41,""^[^@\s]+@[^@\s]+\.[^@\s]+$""),""Valid"",""Invalid""))"),"Valid")</f>
        <v>Valid</v>
      </c>
      <c r="J41" s="12" t="s">
        <v>258</v>
      </c>
      <c r="K41" s="12" t="s">
        <v>259</v>
      </c>
      <c r="L41" s="12" t="s">
        <v>175</v>
      </c>
      <c r="M41" s="8" t="str">
        <f t="shared" si="3"/>
        <v>Peru</v>
      </c>
      <c r="N41" s="12" t="s">
        <v>57</v>
      </c>
      <c r="O41" s="12" t="s">
        <v>40</v>
      </c>
      <c r="P41" s="12" t="s">
        <v>65</v>
      </c>
      <c r="Q41" s="8" t="str">
        <f t="shared" si="4"/>
        <v>Won</v>
      </c>
      <c r="R41" s="16">
        <v>2000.0</v>
      </c>
      <c r="S41" s="17">
        <v>46068.0</v>
      </c>
      <c r="T41" s="17">
        <v>46107.0</v>
      </c>
      <c r="U41" s="8" t="s">
        <v>95</v>
      </c>
    </row>
    <row r="42" ht="15.75" customHeight="1">
      <c r="A42" s="12" t="s">
        <v>261</v>
      </c>
      <c r="B42" s="12" t="s">
        <v>262</v>
      </c>
      <c r="C42" s="52" t="s">
        <v>263</v>
      </c>
      <c r="D42" s="8" t="str">
        <f t="shared" si="1"/>
        <v>lucia.sanchez5 @ outlook.com</v>
      </c>
      <c r="E42" s="53" t="s">
        <v>188</v>
      </c>
      <c r="F42" s="54" t="s">
        <v>264</v>
      </c>
      <c r="G42" s="8" t="str">
        <f t="shared" si="2"/>
        <v>Unique</v>
      </c>
      <c r="I42" s="8" t="str">
        <f>IFERROR(__xludf.DUMMYFUNCTION("IF(C42="""",""Missing"",IF(REGEXMATCH(C42,""^[^@\s]+@[^@\s]+\.[^@\s]+$""),""Valid"",""Invalid""))"),"Invalid")</f>
        <v>Invalid</v>
      </c>
      <c r="J42" s="12" t="s">
        <v>265</v>
      </c>
      <c r="K42" s="12" t="s">
        <v>266</v>
      </c>
      <c r="L42" s="12" t="s">
        <v>151</v>
      </c>
      <c r="M42" s="8" t="str">
        <f t="shared" si="3"/>
        <v>El Salvador</v>
      </c>
      <c r="N42" s="12" t="s">
        <v>133</v>
      </c>
      <c r="O42" s="12" t="s">
        <v>40</v>
      </c>
      <c r="P42" s="12" t="s">
        <v>77</v>
      </c>
      <c r="Q42" s="8" t="str">
        <f t="shared" si="4"/>
        <v>Proposal Sent</v>
      </c>
      <c r="R42" s="16">
        <v>350.0</v>
      </c>
      <c r="S42" s="17">
        <v>46116.0</v>
      </c>
      <c r="T42" s="17"/>
      <c r="U42" s="8" t="s">
        <v>95</v>
      </c>
    </row>
    <row r="43" ht="15.75" customHeight="1">
      <c r="A43" s="12" t="s">
        <v>267</v>
      </c>
      <c r="B43" s="12" t="s">
        <v>268</v>
      </c>
      <c r="C43" s="13" t="s">
        <v>269</v>
      </c>
      <c r="D43" s="8" t="str">
        <f t="shared" si="1"/>
        <v>carolina.flores80@mail.com</v>
      </c>
      <c r="G43" s="8" t="str">
        <f t="shared" si="2"/>
        <v>Unique</v>
      </c>
      <c r="I43" s="8" t="str">
        <f>IFERROR(__xludf.DUMMYFUNCTION("IF(C43="""",""Missing"",IF(REGEXMATCH(C43,""^[^@\s]+@[^@\s]+\.[^@\s]+$""),""Valid"",""Invalid""))"),"Valid")</f>
        <v>Valid</v>
      </c>
      <c r="J43" s="12" t="s">
        <v>270</v>
      </c>
      <c r="K43" s="12" t="s">
        <v>237</v>
      </c>
      <c r="L43" s="12" t="s">
        <v>162</v>
      </c>
      <c r="M43" s="8" t="str">
        <f t="shared" si="3"/>
        <v>United States</v>
      </c>
      <c r="N43" s="12" t="s">
        <v>57</v>
      </c>
      <c r="O43" s="12" t="s">
        <v>76</v>
      </c>
      <c r="P43" s="12" t="s">
        <v>134</v>
      </c>
      <c r="Q43" s="8" t="str">
        <f t="shared" si="4"/>
        <v>Qualified</v>
      </c>
      <c r="R43" s="16">
        <v>4500.0</v>
      </c>
      <c r="S43" s="17">
        <v>46155.0</v>
      </c>
      <c r="T43" s="17">
        <v>46174.0</v>
      </c>
      <c r="U43" s="8" t="s">
        <v>30</v>
      </c>
    </row>
    <row r="44" ht="15.75" customHeight="1">
      <c r="A44" s="12" t="s">
        <v>273</v>
      </c>
      <c r="B44" s="12" t="s">
        <v>274</v>
      </c>
      <c r="C44" s="13" t="s">
        <v>275</v>
      </c>
      <c r="D44" s="8" t="str">
        <f t="shared" si="1"/>
        <v>sofia.morales41@gmail.com</v>
      </c>
      <c r="G44" s="8" t="str">
        <f t="shared" si="2"/>
        <v>Unique</v>
      </c>
      <c r="I44" s="8" t="str">
        <f>IFERROR(__xludf.DUMMYFUNCTION("IF(C44="""",""Missing"",IF(REGEXMATCH(C44,""^[^@\s]+@[^@\s]+\.[^@\s]+$""),""Valid"",""Invalid""))"),"Valid")</f>
        <v>Valid</v>
      </c>
      <c r="J44" s="12" t="s">
        <v>276</v>
      </c>
      <c r="K44" s="12" t="s">
        <v>277</v>
      </c>
      <c r="L44" s="12" t="s">
        <v>38</v>
      </c>
      <c r="M44" s="8" t="str">
        <f t="shared" si="3"/>
        <v>Chile</v>
      </c>
      <c r="N44" s="12" t="s">
        <v>48</v>
      </c>
      <c r="O44" s="12" t="s">
        <v>76</v>
      </c>
      <c r="P44" s="12" t="s">
        <v>58</v>
      </c>
      <c r="Q44" s="8" t="str">
        <f t="shared" si="4"/>
        <v>Lost</v>
      </c>
      <c r="R44" s="16">
        <v>900.0</v>
      </c>
      <c r="S44" s="17">
        <v>46264.0</v>
      </c>
      <c r="T44" s="17">
        <v>46289.0</v>
      </c>
      <c r="U44" s="8" t="s">
        <v>107</v>
      </c>
    </row>
    <row r="45" ht="15.75" customHeight="1">
      <c r="A45" s="12" t="s">
        <v>278</v>
      </c>
      <c r="B45" s="12" t="s">
        <v>279</v>
      </c>
      <c r="C45" s="13" t="s">
        <v>280</v>
      </c>
      <c r="D45" s="8" t="str">
        <f t="shared" si="1"/>
        <v>maria.ortiz54@outlook.com</v>
      </c>
      <c r="G45" s="8" t="str">
        <f t="shared" si="2"/>
        <v>Unique</v>
      </c>
      <c r="I45" s="8" t="str">
        <f>IFERROR(__xludf.DUMMYFUNCTION("IF(C45="""",""Missing"",IF(REGEXMATCH(C45,""^[^@\s]+@[^@\s]+\.[^@\s]+$""),""Valid"",""Invalid""))"),"Valid")</f>
        <v>Valid</v>
      </c>
      <c r="J45" s="12" t="s">
        <v>281</v>
      </c>
      <c r="K45" s="12" t="s">
        <v>282</v>
      </c>
      <c r="L45" s="12" t="s">
        <v>283</v>
      </c>
      <c r="M45" s="8" t="str">
        <f t="shared" si="3"/>
        <v>Colombia</v>
      </c>
      <c r="N45" s="12" t="s">
        <v>106</v>
      </c>
      <c r="O45" s="12" t="s">
        <v>76</v>
      </c>
      <c r="P45" s="12" t="s">
        <v>29</v>
      </c>
      <c r="Q45" s="8" t="str">
        <f t="shared" si="4"/>
        <v>Contacted</v>
      </c>
      <c r="R45" s="16">
        <v>1500.0</v>
      </c>
      <c r="S45" s="17">
        <v>46053.0</v>
      </c>
      <c r="T45" s="17">
        <v>46068.0</v>
      </c>
      <c r="U45" s="8" t="s">
        <v>66</v>
      </c>
    </row>
    <row r="46" ht="15.75" customHeight="1">
      <c r="A46" s="12" t="s">
        <v>284</v>
      </c>
      <c r="B46" s="12" t="s">
        <v>285</v>
      </c>
      <c r="C46" s="13" t="s">
        <v>286</v>
      </c>
      <c r="D46" s="8" t="str">
        <f t="shared" si="1"/>
        <v>natalia.sanchez62@company.com</v>
      </c>
      <c r="G46" s="8" t="str">
        <f t="shared" si="2"/>
        <v>Unique</v>
      </c>
      <c r="I46" s="8" t="str">
        <f>IFERROR(__xludf.DUMMYFUNCTION("IF(C46="""",""Missing"",IF(REGEXMATCH(C46,""^[^@\s]+@[^@\s]+\.[^@\s]+$""),""Valid"",""Invalid""))"),"Valid")</f>
        <v>Valid</v>
      </c>
      <c r="J46" s="12" t="s">
        <v>287</v>
      </c>
      <c r="K46" s="12" t="s">
        <v>288</v>
      </c>
      <c r="L46" s="12" t="s">
        <v>248</v>
      </c>
      <c r="M46" s="8" t="str">
        <f t="shared" si="3"/>
        <v>Colombia</v>
      </c>
      <c r="N46" s="12" t="s">
        <v>48</v>
      </c>
      <c r="O46" s="12" t="s">
        <v>28</v>
      </c>
      <c r="P46" s="12" t="s">
        <v>77</v>
      </c>
      <c r="Q46" s="8" t="str">
        <f t="shared" si="4"/>
        <v>Proposal Sent</v>
      </c>
      <c r="R46" s="16">
        <v>2000.0</v>
      </c>
      <c r="S46" s="17">
        <v>46259.0</v>
      </c>
      <c r="T46" s="17">
        <v>46298.0</v>
      </c>
      <c r="U46" s="8" t="s">
        <v>41</v>
      </c>
    </row>
    <row r="47" ht="15.75" customHeight="1">
      <c r="A47" s="12" t="s">
        <v>289</v>
      </c>
      <c r="B47" s="12" t="s">
        <v>290</v>
      </c>
      <c r="C47" s="13" t="s">
        <v>291</v>
      </c>
      <c r="D47" s="8" t="str">
        <f t="shared" si="1"/>
        <v>camila.diaz36@mail.com</v>
      </c>
      <c r="G47" s="8" t="str">
        <f t="shared" si="2"/>
        <v>Unique</v>
      </c>
      <c r="I47" s="8" t="str">
        <f>IFERROR(__xludf.DUMMYFUNCTION("IF(C47="""",""Missing"",IF(REGEXMATCH(C47,""^[^@\s]+@[^@\s]+\.[^@\s]+$""),""Valid"",""Invalid""))"),"Valid")</f>
        <v>Valid</v>
      </c>
      <c r="J47" s="12" t="s">
        <v>292</v>
      </c>
      <c r="K47" s="12" t="s">
        <v>293</v>
      </c>
      <c r="L47" s="12" t="s">
        <v>283</v>
      </c>
      <c r="M47" s="8" t="str">
        <f t="shared" si="3"/>
        <v>Colombia</v>
      </c>
      <c r="N47" s="12" t="s">
        <v>48</v>
      </c>
      <c r="O47" s="12" t="s">
        <v>28</v>
      </c>
      <c r="P47" s="12" t="s">
        <v>134</v>
      </c>
      <c r="Q47" s="8" t="str">
        <f t="shared" si="4"/>
        <v>Qualified</v>
      </c>
      <c r="R47" s="16">
        <v>1500.0</v>
      </c>
      <c r="S47" s="17">
        <v>46043.0</v>
      </c>
      <c r="T47" s="17">
        <v>46059.0</v>
      </c>
      <c r="U47" s="8" t="s">
        <v>30</v>
      </c>
    </row>
    <row r="48" ht="15.75" customHeight="1">
      <c r="A48" s="12" t="s">
        <v>294</v>
      </c>
      <c r="B48" s="12" t="s">
        <v>295</v>
      </c>
      <c r="C48" s="13" t="s">
        <v>296</v>
      </c>
      <c r="D48" s="8" t="str">
        <f t="shared" si="1"/>
        <v>sofia.vargas36@mail.com</v>
      </c>
      <c r="G48" s="8" t="str">
        <f t="shared" si="2"/>
        <v>Unique</v>
      </c>
      <c r="I48" s="8" t="str">
        <f>IFERROR(__xludf.DUMMYFUNCTION("IF(C48="""",""Missing"",IF(REGEXMATCH(C48,""^[^@\s]+@[^@\s]+\.[^@\s]+$""),""Valid"",""Invalid""))"),"Valid")</f>
        <v>Valid</v>
      </c>
      <c r="J48" s="12"/>
      <c r="K48" s="12" t="s">
        <v>242</v>
      </c>
      <c r="L48" s="12" t="s">
        <v>75</v>
      </c>
      <c r="M48" s="8" t="str">
        <f t="shared" si="3"/>
        <v>United States</v>
      </c>
      <c r="N48" s="12" t="s">
        <v>39</v>
      </c>
      <c r="O48" s="12" t="s">
        <v>49</v>
      </c>
      <c r="P48" s="12" t="s">
        <v>77</v>
      </c>
      <c r="Q48" s="8" t="str">
        <f t="shared" si="4"/>
        <v>Proposal Sent</v>
      </c>
      <c r="R48" s="16">
        <v>1500.0</v>
      </c>
      <c r="S48" s="17">
        <v>46173.0</v>
      </c>
      <c r="T48" s="17">
        <v>46174.0</v>
      </c>
      <c r="U48" s="8" t="s">
        <v>41</v>
      </c>
    </row>
    <row r="49" ht="15.75" customHeight="1">
      <c r="A49" s="12" t="s">
        <v>299</v>
      </c>
      <c r="B49" s="12" t="s">
        <v>300</v>
      </c>
      <c r="C49" s="13" t="s">
        <v>301</v>
      </c>
      <c r="D49" s="8" t="str">
        <f t="shared" si="1"/>
        <v>luis.flores7@company.com</v>
      </c>
      <c r="G49" s="8" t="str">
        <f t="shared" si="2"/>
        <v>Unique</v>
      </c>
      <c r="I49" s="8" t="str">
        <f>IFERROR(__xludf.DUMMYFUNCTION("IF(C49="""",""Missing"",IF(REGEXMATCH(C49,""^[^@\s]+@[^@\s]+\.[^@\s]+$""),""Valid"",""Invalid""))"),"Valid")</f>
        <v>Valid</v>
      </c>
      <c r="J49" s="12"/>
      <c r="K49" s="12" t="s">
        <v>303</v>
      </c>
      <c r="L49" s="12" t="s">
        <v>56</v>
      </c>
      <c r="M49" s="8" t="str">
        <f t="shared" si="3"/>
        <v>Argentina</v>
      </c>
      <c r="N49" s="12" t="s">
        <v>106</v>
      </c>
      <c r="O49" s="12" t="s">
        <v>40</v>
      </c>
      <c r="P49" s="12" t="s">
        <v>304</v>
      </c>
      <c r="Q49" s="8" t="str">
        <f t="shared" si="4"/>
        <v>Qualified</v>
      </c>
      <c r="R49" s="16">
        <v>1200.0</v>
      </c>
      <c r="S49" s="17">
        <v>46187.0</v>
      </c>
      <c r="T49" s="17">
        <v>46204.0</v>
      </c>
    </row>
    <row r="50" ht="15.75" customHeight="1">
      <c r="A50" s="12" t="s">
        <v>305</v>
      </c>
      <c r="B50" s="12" t="s">
        <v>306</v>
      </c>
      <c r="C50" s="13" t="s">
        <v>307</v>
      </c>
      <c r="D50" s="8" t="str">
        <f t="shared" si="1"/>
        <v>carlos.perez33@gmail.com</v>
      </c>
      <c r="G50" s="8" t="str">
        <f t="shared" si="2"/>
        <v>Duplicate</v>
      </c>
      <c r="H50" s="53" t="s">
        <v>69</v>
      </c>
      <c r="I50" s="8" t="str">
        <f>IFERROR(__xludf.DUMMYFUNCTION("IF(C50="""",""Missing"",IF(REGEXMATCH(C50,""^[^@\s]+@[^@\s]+\.[^@\s]+$""),""Valid"",""Invalid""))"),"Valid")</f>
        <v>Valid</v>
      </c>
      <c r="J50" s="12" t="s">
        <v>160</v>
      </c>
      <c r="K50" s="12" t="s">
        <v>161</v>
      </c>
      <c r="L50" s="12" t="s">
        <v>162</v>
      </c>
      <c r="M50" s="8" t="str">
        <f t="shared" si="3"/>
        <v>United States</v>
      </c>
      <c r="N50" s="12" t="s">
        <v>48</v>
      </c>
      <c r="O50" s="12" t="s">
        <v>28</v>
      </c>
      <c r="P50" s="12" t="s">
        <v>134</v>
      </c>
      <c r="Q50" s="8" t="str">
        <f t="shared" si="4"/>
        <v>Qualified</v>
      </c>
      <c r="R50" s="16">
        <v>1500.0</v>
      </c>
      <c r="S50" s="17">
        <v>46253.0</v>
      </c>
      <c r="T50" s="17">
        <v>46275.0</v>
      </c>
      <c r="U50" s="8" t="s">
        <v>66</v>
      </c>
    </row>
    <row r="51" ht="15.75" customHeight="1">
      <c r="A51" s="12" t="s">
        <v>308</v>
      </c>
      <c r="B51" s="12" t="s">
        <v>309</v>
      </c>
      <c r="C51" s="13" t="s">
        <v>310</v>
      </c>
      <c r="D51" s="8" t="str">
        <f t="shared" si="1"/>
        <v>lucia.garcia2@outlook.com</v>
      </c>
      <c r="G51" s="8" t="str">
        <f t="shared" si="2"/>
        <v>Unique</v>
      </c>
      <c r="I51" s="8" t="str">
        <f>IFERROR(__xludf.DUMMYFUNCTION("IF(C51="""",""Missing"",IF(REGEXMATCH(C51,""^[^@\s]+@[^@\s]+\.[^@\s]+$""),""Valid"",""Invalid""))"),"Valid")</f>
        <v>Valid</v>
      </c>
      <c r="J51" s="12" t="s">
        <v>311</v>
      </c>
      <c r="K51" s="12" t="s">
        <v>131</v>
      </c>
      <c r="L51" s="12" t="s">
        <v>26</v>
      </c>
      <c r="M51" s="8" t="str">
        <f t="shared" si="3"/>
        <v>Chile</v>
      </c>
      <c r="N51" s="12" t="s">
        <v>39</v>
      </c>
      <c r="O51" s="12" t="s">
        <v>76</v>
      </c>
      <c r="P51" s="12" t="s">
        <v>77</v>
      </c>
      <c r="Q51" s="8" t="str">
        <f t="shared" si="4"/>
        <v>Proposal Sent</v>
      </c>
      <c r="R51" s="16">
        <v>4500.0</v>
      </c>
      <c r="S51" s="17">
        <v>46244.0</v>
      </c>
      <c r="T51" s="17"/>
      <c r="U51" s="8" t="s">
        <v>41</v>
      </c>
    </row>
    <row r="52" ht="15.75" customHeight="1">
      <c r="A52" s="12" t="s">
        <v>314</v>
      </c>
      <c r="B52" s="12" t="s">
        <v>315</v>
      </c>
      <c r="C52" s="13" t="s">
        <v>316</v>
      </c>
      <c r="D52" s="8" t="str">
        <f t="shared" si="1"/>
        <v>maria.sanchez18@outlook.com</v>
      </c>
      <c r="G52" s="8" t="str">
        <f t="shared" si="2"/>
        <v>Unique</v>
      </c>
      <c r="I52" s="8" t="str">
        <f>IFERROR(__xludf.DUMMYFUNCTION("IF(C52="""",""Missing"",IF(REGEXMATCH(C52,""^[^@\s]+@[^@\s]+\.[^@\s]+$""),""Valid"",""Invalid""))"),"Valid")</f>
        <v>Valid</v>
      </c>
      <c r="J52" s="12" t="s">
        <v>317</v>
      </c>
      <c r="K52" s="12" t="s">
        <v>318</v>
      </c>
      <c r="L52" s="12" t="s">
        <v>82</v>
      </c>
      <c r="M52" s="8" t="str">
        <f t="shared" si="3"/>
        <v>Spain</v>
      </c>
      <c r="N52" s="12" t="s">
        <v>39</v>
      </c>
      <c r="O52" s="12" t="s">
        <v>217</v>
      </c>
      <c r="P52" s="12" t="s">
        <v>50</v>
      </c>
      <c r="Q52" s="8" t="str">
        <f t="shared" si="4"/>
        <v>New</v>
      </c>
      <c r="R52" s="16">
        <v>750.0</v>
      </c>
      <c r="S52" s="17">
        <v>46260.0</v>
      </c>
      <c r="T52" s="17">
        <v>46289.0</v>
      </c>
      <c r="U52" s="8" t="s">
        <v>41</v>
      </c>
    </row>
    <row r="53" ht="15.75" customHeight="1">
      <c r="A53" s="12" t="s">
        <v>319</v>
      </c>
      <c r="B53" s="12" t="s">
        <v>320</v>
      </c>
      <c r="C53" s="13" t="s">
        <v>322</v>
      </c>
      <c r="D53" s="8" t="str">
        <f t="shared" si="1"/>
        <v>patricia.rodriguez52@outlook.com</v>
      </c>
      <c r="G53" s="8" t="str">
        <f t="shared" si="2"/>
        <v>Unique</v>
      </c>
      <c r="I53" s="8" t="str">
        <f>IFERROR(__xludf.DUMMYFUNCTION("IF(C53="""",""Missing"",IF(REGEXMATCH(C53,""^[^@\s]+@[^@\s]+\.[^@\s]+$""),""Valid"",""Invalid""))"),"Valid")</f>
        <v>Valid</v>
      </c>
      <c r="J53" s="12" t="s">
        <v>323</v>
      </c>
      <c r="K53" s="12" t="s">
        <v>325</v>
      </c>
      <c r="L53" s="12" t="s">
        <v>168</v>
      </c>
      <c r="M53" s="8" t="str">
        <f t="shared" si="3"/>
        <v>Argentina</v>
      </c>
      <c r="N53" s="12" t="s">
        <v>106</v>
      </c>
      <c r="O53" s="12" t="s">
        <v>40</v>
      </c>
      <c r="P53" s="12" t="s">
        <v>58</v>
      </c>
      <c r="Q53" s="8" t="str">
        <f t="shared" si="4"/>
        <v>Lost</v>
      </c>
      <c r="R53" s="16"/>
      <c r="S53" s="17">
        <v>46259.0</v>
      </c>
      <c r="T53" s="17">
        <v>46274.0</v>
      </c>
      <c r="U53" s="8" t="s">
        <v>66</v>
      </c>
    </row>
    <row r="54" ht="15.75" customHeight="1">
      <c r="A54" s="12" t="s">
        <v>326</v>
      </c>
      <c r="B54" s="12" t="s">
        <v>327</v>
      </c>
      <c r="C54" s="13" t="s">
        <v>328</v>
      </c>
      <c r="D54" s="8" t="str">
        <f t="shared" si="1"/>
        <v>natalia.rodriguez44@mail.com</v>
      </c>
      <c r="G54" s="8" t="str">
        <f t="shared" si="2"/>
        <v>Unique</v>
      </c>
      <c r="I54" s="8" t="str">
        <f>IFERROR(__xludf.DUMMYFUNCTION("IF(C54="""",""Missing"",IF(REGEXMATCH(C54,""^[^@\s]+@[^@\s]+\.[^@\s]+$""),""Valid"",""Invalid""))"),"Valid")</f>
        <v>Valid</v>
      </c>
      <c r="J54" s="12" t="s">
        <v>331</v>
      </c>
      <c r="K54" s="12" t="s">
        <v>332</v>
      </c>
      <c r="L54" s="12" t="s">
        <v>126</v>
      </c>
      <c r="M54" s="8" t="str">
        <f t="shared" si="3"/>
        <v>Peru</v>
      </c>
      <c r="N54" s="12" t="s">
        <v>57</v>
      </c>
      <c r="O54" s="12" t="s">
        <v>28</v>
      </c>
      <c r="P54" s="12" t="s">
        <v>29</v>
      </c>
      <c r="Q54" s="8" t="str">
        <f t="shared" si="4"/>
        <v>Contacted</v>
      </c>
      <c r="R54" s="16">
        <v>1200.0</v>
      </c>
      <c r="S54" s="17">
        <v>46158.0</v>
      </c>
      <c r="T54" s="17">
        <v>46171.0</v>
      </c>
      <c r="U54" s="8" t="s">
        <v>95</v>
      </c>
    </row>
    <row r="55" ht="15.75" customHeight="1">
      <c r="A55" s="12" t="s">
        <v>335</v>
      </c>
      <c r="B55" s="12" t="s">
        <v>336</v>
      </c>
      <c r="C55" s="13" t="s">
        <v>337</v>
      </c>
      <c r="D55" s="8" t="str">
        <f t="shared" si="1"/>
        <v>maria.rodriguez23@gmail.com</v>
      </c>
      <c r="G55" s="8" t="str">
        <f t="shared" si="2"/>
        <v>Unique</v>
      </c>
      <c r="I55" s="8" t="str">
        <f>IFERROR(__xludf.DUMMYFUNCTION("IF(C55="""",""Missing"",IF(REGEXMATCH(C55,""^[^@\s]+@[^@\s]+\.[^@\s]+$""),""Valid"",""Invalid""))"),"Valid")</f>
        <v>Valid</v>
      </c>
      <c r="J55" s="12" t="s">
        <v>338</v>
      </c>
      <c r="K55" s="12" t="s">
        <v>339</v>
      </c>
      <c r="L55" s="12" t="s">
        <v>211</v>
      </c>
      <c r="M55" s="8" t="str">
        <f t="shared" si="3"/>
        <v>Mexico</v>
      </c>
      <c r="N55" s="12" t="s">
        <v>48</v>
      </c>
      <c r="O55" s="12" t="s">
        <v>217</v>
      </c>
      <c r="P55" s="12" t="s">
        <v>58</v>
      </c>
      <c r="Q55" s="8" t="str">
        <f t="shared" si="4"/>
        <v>Lost</v>
      </c>
      <c r="R55" s="16">
        <v>900.0</v>
      </c>
      <c r="S55" s="17">
        <v>46029.0</v>
      </c>
      <c r="T55" s="17">
        <v>46064.0</v>
      </c>
      <c r="U55" s="8" t="s">
        <v>30</v>
      </c>
    </row>
    <row r="56" ht="15.75" customHeight="1">
      <c r="A56" s="12" t="s">
        <v>341</v>
      </c>
      <c r="B56" s="12" t="s">
        <v>342</v>
      </c>
      <c r="C56" s="13" t="s">
        <v>343</v>
      </c>
      <c r="D56" s="8" t="str">
        <f t="shared" si="1"/>
        <v>ricardo.morales60@mail.com</v>
      </c>
      <c r="G56" s="8" t="str">
        <f t="shared" si="2"/>
        <v>Unique</v>
      </c>
      <c r="I56" s="8" t="str">
        <f>IFERROR(__xludf.DUMMYFUNCTION("IF(C56="""",""Missing"",IF(REGEXMATCH(C56,""^[^@\s]+@[^@\s]+\.[^@\s]+$""),""Valid"",""Invalid""))"),"Valid")</f>
        <v>Valid</v>
      </c>
      <c r="J56" s="12" t="s">
        <v>346</v>
      </c>
      <c r="K56" s="12" t="s">
        <v>347</v>
      </c>
      <c r="L56" s="12" t="s">
        <v>151</v>
      </c>
      <c r="M56" s="8" t="str">
        <f t="shared" si="3"/>
        <v>El Salvador</v>
      </c>
      <c r="N56" s="12" t="s">
        <v>133</v>
      </c>
      <c r="O56" s="12" t="s">
        <v>49</v>
      </c>
      <c r="P56" s="12" t="s">
        <v>134</v>
      </c>
      <c r="Q56" s="8" t="str">
        <f t="shared" si="4"/>
        <v>Qualified</v>
      </c>
      <c r="R56" s="16">
        <v>2000.0</v>
      </c>
      <c r="S56" s="17">
        <v>46264.0</v>
      </c>
      <c r="T56" s="17"/>
      <c r="U56" s="8" t="s">
        <v>107</v>
      </c>
    </row>
    <row r="57" ht="15.75" customHeight="1">
      <c r="A57" s="12" t="s">
        <v>349</v>
      </c>
      <c r="B57" s="12" t="s">
        <v>128</v>
      </c>
      <c r="C57" s="13" t="s">
        <v>350</v>
      </c>
      <c r="D57" s="8" t="str">
        <f t="shared" si="1"/>
        <v>javier.martinez58@mail.com</v>
      </c>
      <c r="G57" s="8" t="str">
        <f t="shared" si="2"/>
        <v>Unique</v>
      </c>
      <c r="I57" s="8" t="str">
        <f>IFERROR(__xludf.DUMMYFUNCTION("IF(C57="""",""Missing"",IF(REGEXMATCH(C57,""^[^@\s]+@[^@\s]+\.[^@\s]+$""),""Valid"",""Invalid""))"),"Valid")</f>
        <v>Valid</v>
      </c>
      <c r="J57" s="12" t="s">
        <v>355</v>
      </c>
      <c r="K57" s="12" t="s">
        <v>282</v>
      </c>
      <c r="L57" s="12" t="s">
        <v>132</v>
      </c>
      <c r="M57" s="8" t="str">
        <f t="shared" si="3"/>
        <v>Argentina</v>
      </c>
      <c r="N57" s="12" t="s">
        <v>57</v>
      </c>
      <c r="O57" s="12" t="s">
        <v>217</v>
      </c>
      <c r="P57" s="12" t="s">
        <v>77</v>
      </c>
      <c r="Q57" s="8" t="str">
        <f t="shared" si="4"/>
        <v>Proposal Sent</v>
      </c>
      <c r="R57" s="16">
        <v>4500.0</v>
      </c>
      <c r="S57" s="17">
        <v>46135.0</v>
      </c>
      <c r="T57" s="17">
        <v>46172.0</v>
      </c>
      <c r="U57" s="8" t="s">
        <v>107</v>
      </c>
    </row>
    <row r="58" ht="15.75" customHeight="1">
      <c r="A58" s="12" t="s">
        <v>356</v>
      </c>
      <c r="B58" s="12" t="s">
        <v>357</v>
      </c>
      <c r="C58" s="13" t="s">
        <v>358</v>
      </c>
      <c r="D58" s="8" t="str">
        <f t="shared" si="1"/>
        <v>patricia.castro89@mail.com</v>
      </c>
      <c r="G58" s="8" t="str">
        <f t="shared" si="2"/>
        <v>Unique</v>
      </c>
      <c r="I58" s="8" t="str">
        <f>IFERROR(__xludf.DUMMYFUNCTION("IF(C58="""",""Missing"",IF(REGEXMATCH(C58,""^[^@\s]+@[^@\s]+\.[^@\s]+$""),""Valid"",""Invalid""))"),"Valid")</f>
        <v>Valid</v>
      </c>
      <c r="J58" s="12" t="s">
        <v>359</v>
      </c>
      <c r="K58" s="12" t="s">
        <v>360</v>
      </c>
      <c r="L58" s="12" t="s">
        <v>361</v>
      </c>
      <c r="M58" s="8" t="str">
        <f t="shared" si="3"/>
        <v>Mexico</v>
      </c>
      <c r="N58" s="12" t="s">
        <v>27</v>
      </c>
      <c r="O58" s="12" t="s">
        <v>40</v>
      </c>
      <c r="P58" s="12" t="s">
        <v>362</v>
      </c>
      <c r="Q58" s="8" t="str">
        <f t="shared" si="4"/>
        <v>New</v>
      </c>
      <c r="R58" s="16">
        <v>4500.0</v>
      </c>
      <c r="S58" s="17">
        <v>46066.0</v>
      </c>
      <c r="T58" s="17">
        <v>46107.0</v>
      </c>
      <c r="U58" s="8" t="s">
        <v>41</v>
      </c>
    </row>
    <row r="59" ht="15.75" customHeight="1">
      <c r="A59" s="12" t="s">
        <v>363</v>
      </c>
      <c r="B59" s="12" t="s">
        <v>364</v>
      </c>
      <c r="C59" s="13" t="s">
        <v>365</v>
      </c>
      <c r="D59" s="8" t="str">
        <f t="shared" si="1"/>
        <v>andres.morales46@company.com</v>
      </c>
      <c r="G59" s="8" t="str">
        <f t="shared" si="2"/>
        <v>Unique</v>
      </c>
      <c r="I59" s="8" t="str">
        <f>IFERROR(__xludf.DUMMYFUNCTION("IF(C59="""",""Missing"",IF(REGEXMATCH(C59,""^[^@\s]+@[^@\s]+\.[^@\s]+$""),""Valid"",""Invalid""))"),"Valid")</f>
        <v>Valid</v>
      </c>
      <c r="J59" s="12" t="s">
        <v>366</v>
      </c>
      <c r="K59" s="12" t="s">
        <v>367</v>
      </c>
      <c r="L59" s="12" t="s">
        <v>283</v>
      </c>
      <c r="M59" s="8" t="str">
        <f t="shared" si="3"/>
        <v>Colombia</v>
      </c>
      <c r="N59" s="12" t="s">
        <v>106</v>
      </c>
      <c r="O59" s="12" t="s">
        <v>40</v>
      </c>
      <c r="P59" s="12" t="s">
        <v>77</v>
      </c>
      <c r="Q59" s="8" t="str">
        <f t="shared" si="4"/>
        <v>Proposal Sent</v>
      </c>
      <c r="R59" s="16">
        <v>1200.0</v>
      </c>
      <c r="S59" s="17">
        <v>46255.0</v>
      </c>
      <c r="T59" s="17">
        <v>46290.0</v>
      </c>
      <c r="U59" s="8" t="s">
        <v>41</v>
      </c>
    </row>
    <row r="60" ht="15.75" customHeight="1">
      <c r="A60" s="12" t="s">
        <v>368</v>
      </c>
      <c r="B60" s="12" t="s">
        <v>369</v>
      </c>
      <c r="C60" s="13" t="s">
        <v>370</v>
      </c>
      <c r="D60" s="8" t="str">
        <f t="shared" si="1"/>
        <v>fernando.diaz13@mail.com</v>
      </c>
      <c r="G60" s="8" t="str">
        <f t="shared" si="2"/>
        <v>Unique</v>
      </c>
      <c r="I60" s="8" t="str">
        <f>IFERROR(__xludf.DUMMYFUNCTION("IF(C60="""",""Missing"",IF(REGEXMATCH(C60,""^[^@\s]+@[^@\s]+\.[^@\s]+$""),""Valid"",""Invalid""))"),"Valid")</f>
        <v>Valid</v>
      </c>
      <c r="J60" s="12" t="s">
        <v>371</v>
      </c>
      <c r="K60" s="12" t="s">
        <v>156</v>
      </c>
      <c r="L60" s="12" t="s">
        <v>283</v>
      </c>
      <c r="M60" s="8" t="str">
        <f t="shared" si="3"/>
        <v>Colombia</v>
      </c>
      <c r="N60" s="12" t="s">
        <v>57</v>
      </c>
      <c r="O60" s="12" t="s">
        <v>49</v>
      </c>
      <c r="P60" s="12" t="s">
        <v>77</v>
      </c>
      <c r="Q60" s="8" t="str">
        <f t="shared" si="4"/>
        <v>Proposal Sent</v>
      </c>
      <c r="R60" s="16">
        <v>500.0</v>
      </c>
      <c r="S60" s="17">
        <v>46216.0</v>
      </c>
      <c r="T60" s="17">
        <v>46239.0</v>
      </c>
    </row>
    <row r="61" ht="15.75" customHeight="1">
      <c r="A61" s="12" t="s">
        <v>372</v>
      </c>
      <c r="B61" s="12" t="s">
        <v>373</v>
      </c>
      <c r="C61" s="13" t="s">
        <v>374</v>
      </c>
      <c r="D61" s="8" t="str">
        <f t="shared" si="1"/>
        <v>jose.gomez22@gmail.com</v>
      </c>
      <c r="G61" s="8" t="str">
        <f t="shared" si="2"/>
        <v>Duplicate</v>
      </c>
      <c r="I61" s="8" t="str">
        <f>IFERROR(__xludf.DUMMYFUNCTION("IF(C61="""",""Missing"",IF(REGEXMATCH(C61,""^[^@\s]+@[^@\s]+\.[^@\s]+$""),""Valid"",""Invalid""))"),"Valid")</f>
        <v>Valid</v>
      </c>
      <c r="J61" s="12" t="s">
        <v>375</v>
      </c>
      <c r="K61" s="12" t="s">
        <v>376</v>
      </c>
      <c r="L61" s="12" t="s">
        <v>162</v>
      </c>
      <c r="M61" s="8" t="str">
        <f t="shared" si="3"/>
        <v>United States</v>
      </c>
      <c r="N61" s="12" t="s">
        <v>48</v>
      </c>
      <c r="O61" s="12" t="s">
        <v>76</v>
      </c>
      <c r="P61" s="12" t="s">
        <v>58</v>
      </c>
      <c r="Q61" s="8" t="str">
        <f t="shared" si="4"/>
        <v>Lost</v>
      </c>
      <c r="R61" s="16">
        <v>350.0</v>
      </c>
      <c r="S61" s="17">
        <v>46191.0</v>
      </c>
      <c r="T61" s="17">
        <v>46214.0</v>
      </c>
    </row>
    <row r="62" ht="15.75" customHeight="1">
      <c r="A62" s="12" t="s">
        <v>377</v>
      </c>
      <c r="B62" s="12" t="s">
        <v>327</v>
      </c>
      <c r="C62" s="52" t="s">
        <v>379</v>
      </c>
      <c r="D62" s="8" t="str">
        <f t="shared" si="1"/>
        <v>natalia.rodriguez3 @ company.com</v>
      </c>
      <c r="E62" s="53" t="s">
        <v>188</v>
      </c>
      <c r="F62" s="54" t="s">
        <v>380</v>
      </c>
      <c r="G62" s="8" t="str">
        <f t="shared" si="2"/>
        <v>Unique</v>
      </c>
      <c r="I62" s="8" t="str">
        <f>IFERROR(__xludf.DUMMYFUNCTION("IF(C62="""",""Missing"",IF(REGEXMATCH(C62,""^[^@\s]+@[^@\s]+\.[^@\s]+$""),""Valid"",""Invalid""))"),"Invalid")</f>
        <v>Invalid</v>
      </c>
      <c r="J62" s="12" t="s">
        <v>381</v>
      </c>
      <c r="K62" s="12" t="s">
        <v>382</v>
      </c>
      <c r="L62" s="12" t="s">
        <v>211</v>
      </c>
      <c r="M62" s="8" t="str">
        <f t="shared" si="3"/>
        <v>Mexico</v>
      </c>
      <c r="N62" s="12" t="s">
        <v>27</v>
      </c>
      <c r="O62" s="12" t="s">
        <v>49</v>
      </c>
      <c r="P62" s="12" t="s">
        <v>50</v>
      </c>
      <c r="Q62" s="8" t="str">
        <f t="shared" si="4"/>
        <v>New</v>
      </c>
      <c r="R62" s="16">
        <v>2000.0</v>
      </c>
      <c r="S62" s="17">
        <v>46230.0</v>
      </c>
      <c r="T62" s="17">
        <v>46274.0</v>
      </c>
      <c r="U62" s="8" t="s">
        <v>66</v>
      </c>
    </row>
    <row r="63" ht="15.75" customHeight="1">
      <c r="A63" s="12" t="s">
        <v>383</v>
      </c>
      <c r="B63" s="12" t="s">
        <v>384</v>
      </c>
      <c r="C63" s="13" t="s">
        <v>385</v>
      </c>
      <c r="D63" s="8" t="str">
        <f t="shared" si="1"/>
        <v>javier.flores94@company.com</v>
      </c>
      <c r="G63" s="8" t="str">
        <f t="shared" si="2"/>
        <v>Unique</v>
      </c>
      <c r="I63" s="8" t="str">
        <f>IFERROR(__xludf.DUMMYFUNCTION("IF(C63="""",""Missing"",IF(REGEXMATCH(C63,""^[^@\s]+@[^@\s]+\.[^@\s]+$""),""Valid"",""Invalid""))"),"Valid")</f>
        <v>Valid</v>
      </c>
      <c r="J63" s="12" t="s">
        <v>386</v>
      </c>
      <c r="K63" s="12" t="s">
        <v>387</v>
      </c>
      <c r="L63" s="12" t="s">
        <v>132</v>
      </c>
      <c r="M63" s="8" t="str">
        <f t="shared" si="3"/>
        <v>Argentina</v>
      </c>
      <c r="N63" s="12" t="s">
        <v>133</v>
      </c>
      <c r="O63" s="12" t="s">
        <v>217</v>
      </c>
      <c r="P63" s="12" t="s">
        <v>29</v>
      </c>
      <c r="Q63" s="8" t="str">
        <f t="shared" si="4"/>
        <v>Contacted</v>
      </c>
      <c r="R63" s="16">
        <v>2500.0</v>
      </c>
      <c r="S63" s="17">
        <v>46246.0</v>
      </c>
      <c r="T63" s="17">
        <v>46282.0</v>
      </c>
      <c r="U63" s="8" t="s">
        <v>30</v>
      </c>
    </row>
    <row r="64" ht="15.75" customHeight="1">
      <c r="A64" s="12" t="s">
        <v>388</v>
      </c>
      <c r="B64" s="12" t="s">
        <v>389</v>
      </c>
      <c r="C64" s="13" t="s">
        <v>390</v>
      </c>
      <c r="D64" s="8" t="str">
        <f t="shared" si="1"/>
        <v>isabel.hernandez64@outlook.com</v>
      </c>
      <c r="G64" s="8" t="str">
        <f t="shared" si="2"/>
        <v>Unique</v>
      </c>
      <c r="I64" s="8" t="str">
        <f>IFERROR(__xludf.DUMMYFUNCTION("IF(C64="""",""Missing"",IF(REGEXMATCH(C64,""^[^@\s]+@[^@\s]+\.[^@\s]+$""),""Valid"",""Invalid""))"),"Valid")</f>
        <v>Valid</v>
      </c>
      <c r="J64" s="12" t="s">
        <v>391</v>
      </c>
      <c r="K64" s="12" t="s">
        <v>392</v>
      </c>
      <c r="L64" s="12" t="s">
        <v>26</v>
      </c>
      <c r="M64" s="8" t="str">
        <f t="shared" si="3"/>
        <v>Chile</v>
      </c>
      <c r="N64" s="12" t="s">
        <v>27</v>
      </c>
      <c r="O64" s="12" t="s">
        <v>28</v>
      </c>
      <c r="P64" s="12" t="s">
        <v>77</v>
      </c>
      <c r="Q64" s="8" t="str">
        <f t="shared" si="4"/>
        <v>Proposal Sent</v>
      </c>
      <c r="R64" s="16">
        <v>2000.0</v>
      </c>
      <c r="S64" s="17">
        <v>46116.0</v>
      </c>
      <c r="T64" s="17">
        <v>46132.0</v>
      </c>
      <c r="U64" s="8" t="s">
        <v>41</v>
      </c>
    </row>
    <row r="65" ht="15.75" customHeight="1">
      <c r="A65" s="12" t="s">
        <v>393</v>
      </c>
      <c r="B65" s="12" t="s">
        <v>394</v>
      </c>
      <c r="C65" s="52"/>
      <c r="D65" s="8" t="str">
        <f t="shared" si="1"/>
        <v/>
      </c>
      <c r="G65" s="8" t="str">
        <f t="shared" si="2"/>
        <v>Missing Email</v>
      </c>
      <c r="I65" s="8" t="str">
        <f>IFERROR(__xludf.DUMMYFUNCTION("IF(C65="""",""Missing"",IF(REGEXMATCH(C65,""^[^@\s]+@[^@\s]+\.[^@\s]+$""),""Valid"",""Invalid""))"),"Missing")</f>
        <v>Missing</v>
      </c>
      <c r="J65" s="12" t="s">
        <v>395</v>
      </c>
      <c r="K65" s="12" t="s">
        <v>131</v>
      </c>
      <c r="L65" s="12" t="s">
        <v>132</v>
      </c>
      <c r="M65" s="8" t="str">
        <f t="shared" si="3"/>
        <v>Argentina</v>
      </c>
      <c r="N65" s="12" t="s">
        <v>27</v>
      </c>
      <c r="O65" s="12" t="s">
        <v>49</v>
      </c>
      <c r="P65" s="12" t="s">
        <v>77</v>
      </c>
      <c r="Q65" s="8" t="str">
        <f t="shared" si="4"/>
        <v>Proposal Sent</v>
      </c>
      <c r="R65" s="16">
        <v>900.0</v>
      </c>
      <c r="S65" s="17">
        <v>46230.0</v>
      </c>
      <c r="T65" s="17">
        <v>46248.0</v>
      </c>
    </row>
    <row r="66" ht="15.75" customHeight="1">
      <c r="A66" s="12" t="s">
        <v>396</v>
      </c>
      <c r="B66" s="12" t="s">
        <v>397</v>
      </c>
      <c r="C66" s="13" t="s">
        <v>398</v>
      </c>
      <c r="D66" s="8" t="str">
        <f t="shared" si="1"/>
        <v>carlos.lopez95@outlook.com</v>
      </c>
      <c r="G66" s="8" t="str">
        <f t="shared" si="2"/>
        <v>Unique</v>
      </c>
      <c r="I66" s="8" t="str">
        <f>IFERROR(__xludf.DUMMYFUNCTION("IF(C66="""",""Missing"",IF(REGEXMATCH(C66,""^[^@\s]+@[^@\s]+\.[^@\s]+$""),""Valid"",""Invalid""))"),"Valid")</f>
        <v>Valid</v>
      </c>
      <c r="J66" s="12" t="s">
        <v>399</v>
      </c>
      <c r="K66" s="12" t="s">
        <v>400</v>
      </c>
      <c r="L66" s="12" t="s">
        <v>126</v>
      </c>
      <c r="M66" s="8" t="str">
        <f t="shared" si="3"/>
        <v>Peru</v>
      </c>
      <c r="N66" s="12" t="s">
        <v>106</v>
      </c>
      <c r="O66" s="12" t="s">
        <v>217</v>
      </c>
      <c r="P66" s="12" t="s">
        <v>58</v>
      </c>
      <c r="Q66" s="8" t="str">
        <f t="shared" si="4"/>
        <v>Lost</v>
      </c>
      <c r="R66" s="16">
        <v>350.0</v>
      </c>
      <c r="S66" s="17">
        <v>46261.0</v>
      </c>
      <c r="T66" s="17"/>
      <c r="U66" s="8" t="s">
        <v>30</v>
      </c>
    </row>
    <row r="67" ht="15.75" customHeight="1">
      <c r="A67" s="12" t="s">
        <v>401</v>
      </c>
      <c r="B67" s="12" t="s">
        <v>402</v>
      </c>
      <c r="C67" s="13" t="s">
        <v>403</v>
      </c>
      <c r="D67" s="8" t="str">
        <f t="shared" si="1"/>
        <v>elena.torres41@mail.com</v>
      </c>
      <c r="G67" s="8" t="str">
        <f t="shared" si="2"/>
        <v>Unique</v>
      </c>
      <c r="I67" s="8" t="str">
        <f>IFERROR(__xludf.DUMMYFUNCTION("IF(C67="""",""Missing"",IF(REGEXMATCH(C67,""^[^@\s]+@[^@\s]+\.[^@\s]+$""),""Valid"",""Invalid""))"),"Valid")</f>
        <v>Valid</v>
      </c>
      <c r="J67" s="12" t="s">
        <v>404</v>
      </c>
      <c r="K67" s="12" t="s">
        <v>405</v>
      </c>
      <c r="L67" s="12" t="s">
        <v>205</v>
      </c>
      <c r="M67" s="8" t="str">
        <f t="shared" si="3"/>
        <v>Chile</v>
      </c>
      <c r="N67" s="12" t="s">
        <v>57</v>
      </c>
      <c r="O67" s="12" t="s">
        <v>76</v>
      </c>
      <c r="P67" s="12" t="s">
        <v>65</v>
      </c>
      <c r="Q67" s="8" t="str">
        <f t="shared" si="4"/>
        <v>Won</v>
      </c>
      <c r="R67" s="16">
        <v>2500.0</v>
      </c>
      <c r="S67" s="17">
        <v>46097.0</v>
      </c>
      <c r="T67" s="17">
        <v>46104.0</v>
      </c>
      <c r="U67" s="8" t="s">
        <v>30</v>
      </c>
    </row>
    <row r="68" ht="15.75" customHeight="1">
      <c r="A68" s="12" t="s">
        <v>406</v>
      </c>
      <c r="B68" s="12" t="s">
        <v>407</v>
      </c>
      <c r="C68" s="13" t="s">
        <v>408</v>
      </c>
      <c r="D68" s="8" t="str">
        <f t="shared" si="1"/>
        <v>camila.hernandez7@gmail.com</v>
      </c>
      <c r="G68" s="8" t="str">
        <f t="shared" si="2"/>
        <v>Unique</v>
      </c>
      <c r="I68" s="8" t="str">
        <f>IFERROR(__xludf.DUMMYFUNCTION("IF(C68="""",""Missing"",IF(REGEXMATCH(C68,""^[^@\s]+@[^@\s]+\.[^@\s]+$""),""Valid"",""Invalid""))"),"Valid")</f>
        <v>Valid</v>
      </c>
      <c r="J68" s="12" t="s">
        <v>409</v>
      </c>
      <c r="K68" s="12" t="s">
        <v>293</v>
      </c>
      <c r="L68" s="12" t="s">
        <v>47</v>
      </c>
      <c r="M68" s="8" t="str">
        <f t="shared" si="3"/>
        <v>El Salvador</v>
      </c>
      <c r="N68" s="12" t="s">
        <v>48</v>
      </c>
      <c r="O68" s="12" t="s">
        <v>28</v>
      </c>
      <c r="P68" s="12" t="s">
        <v>77</v>
      </c>
      <c r="Q68" s="8" t="str">
        <f t="shared" si="4"/>
        <v>Proposal Sent</v>
      </c>
      <c r="R68" s="16">
        <v>350.0</v>
      </c>
      <c r="S68" s="17">
        <v>46209.0</v>
      </c>
      <c r="T68" s="17">
        <v>46253.0</v>
      </c>
      <c r="U68" s="8" t="s">
        <v>41</v>
      </c>
    </row>
    <row r="69" ht="15.75" customHeight="1">
      <c r="A69" s="12" t="s">
        <v>410</v>
      </c>
      <c r="B69" s="12" t="s">
        <v>411</v>
      </c>
      <c r="C69" s="13" t="s">
        <v>412</v>
      </c>
      <c r="D69" s="8" t="str">
        <f t="shared" si="1"/>
        <v>elena.vargas90@company.com</v>
      </c>
      <c r="G69" s="8" t="str">
        <f t="shared" si="2"/>
        <v>Unique</v>
      </c>
      <c r="I69" s="8" t="str">
        <f>IFERROR(__xludf.DUMMYFUNCTION("IF(C69="""",""Missing"",IF(REGEXMATCH(C69,""^[^@\s]+@[^@\s]+\.[^@\s]+$""),""Valid"",""Invalid""))"),"Valid")</f>
        <v>Valid</v>
      </c>
      <c r="J69" s="12" t="s">
        <v>413</v>
      </c>
      <c r="K69" s="12" t="s">
        <v>414</v>
      </c>
      <c r="L69" s="12" t="s">
        <v>56</v>
      </c>
      <c r="M69" s="8" t="str">
        <f t="shared" si="3"/>
        <v>Argentina</v>
      </c>
      <c r="N69" s="12" t="s">
        <v>133</v>
      </c>
      <c r="O69" s="12" t="s">
        <v>76</v>
      </c>
      <c r="P69" s="12" t="s">
        <v>58</v>
      </c>
      <c r="Q69" s="8" t="str">
        <f t="shared" si="4"/>
        <v>Lost</v>
      </c>
      <c r="R69" s="16">
        <v>3000.0</v>
      </c>
      <c r="S69" s="17">
        <v>46239.0</v>
      </c>
      <c r="T69" s="17">
        <v>46255.0</v>
      </c>
      <c r="U69" s="8" t="s">
        <v>66</v>
      </c>
    </row>
    <row r="70" ht="15.75" customHeight="1">
      <c r="A70" s="12" t="s">
        <v>415</v>
      </c>
      <c r="B70" s="12" t="s">
        <v>416</v>
      </c>
      <c r="C70" s="13" t="s">
        <v>417</v>
      </c>
      <c r="D70" s="8" t="str">
        <f t="shared" si="1"/>
        <v>andres.gomez55@mail.com</v>
      </c>
      <c r="G70" s="8" t="str">
        <f t="shared" si="2"/>
        <v>Unique</v>
      </c>
      <c r="I70" s="8" t="str">
        <f>IFERROR(__xludf.DUMMYFUNCTION("IF(C70="""",""Missing"",IF(REGEXMATCH(C70,""^[^@\s]+@[^@\s]+\.[^@\s]+$""),""Valid"",""Invalid""))"),"Valid")</f>
        <v>Valid</v>
      </c>
      <c r="J70" s="12" t="s">
        <v>418</v>
      </c>
      <c r="K70" s="12" t="s">
        <v>419</v>
      </c>
      <c r="L70" s="12" t="s">
        <v>151</v>
      </c>
      <c r="M70" s="8" t="str">
        <f t="shared" si="3"/>
        <v>El Salvador</v>
      </c>
      <c r="N70" s="12" t="s">
        <v>106</v>
      </c>
      <c r="O70" s="12" t="s">
        <v>76</v>
      </c>
      <c r="P70" s="12" t="s">
        <v>29</v>
      </c>
      <c r="Q70" s="8" t="str">
        <f t="shared" si="4"/>
        <v>Contacted</v>
      </c>
      <c r="R70" s="16">
        <v>1200.0</v>
      </c>
      <c r="S70" s="17">
        <v>46239.0</v>
      </c>
      <c r="T70" s="17">
        <v>46261.0</v>
      </c>
      <c r="U70" s="8" t="s">
        <v>95</v>
      </c>
    </row>
    <row r="71" ht="15.75" customHeight="1">
      <c r="A71" s="12" t="s">
        <v>420</v>
      </c>
      <c r="B71" s="12" t="s">
        <v>421</v>
      </c>
      <c r="C71" s="13" t="s">
        <v>422</v>
      </c>
      <c r="D71" s="8" t="str">
        <f t="shared" si="1"/>
        <v>laura.martinez8@company.com</v>
      </c>
      <c r="G71" s="8" t="str">
        <f t="shared" si="2"/>
        <v>Unique</v>
      </c>
      <c r="I71" s="8" t="str">
        <f>IFERROR(__xludf.DUMMYFUNCTION("IF(C71="""",""Missing"",IF(REGEXMATCH(C71,""^[^@\s]+@[^@\s]+\.[^@\s]+$""),""Valid"",""Invalid""))"),"Valid")</f>
        <v>Valid</v>
      </c>
      <c r="J71" s="12" t="s">
        <v>423</v>
      </c>
      <c r="K71" s="12" t="s">
        <v>424</v>
      </c>
      <c r="L71" s="12" t="s">
        <v>205</v>
      </c>
      <c r="M71" s="8" t="str">
        <f t="shared" si="3"/>
        <v>Chile</v>
      </c>
      <c r="N71" s="12" t="s">
        <v>133</v>
      </c>
      <c r="O71" s="12" t="s">
        <v>28</v>
      </c>
      <c r="P71" s="12" t="s">
        <v>65</v>
      </c>
      <c r="Q71" s="8" t="str">
        <f t="shared" si="4"/>
        <v>Won</v>
      </c>
      <c r="R71" s="16">
        <v>2000.0</v>
      </c>
      <c r="S71" s="17">
        <v>46162.0</v>
      </c>
      <c r="T71" s="17">
        <v>46178.0</v>
      </c>
      <c r="U71" s="8" t="s">
        <v>30</v>
      </c>
    </row>
    <row r="72" ht="15.75" customHeight="1">
      <c r="A72" s="12" t="s">
        <v>425</v>
      </c>
      <c r="B72" s="12" t="s">
        <v>426</v>
      </c>
      <c r="C72" s="13" t="s">
        <v>427</v>
      </c>
      <c r="D72" s="8" t="str">
        <f t="shared" si="1"/>
        <v>david.ortiz26@mail.com</v>
      </c>
      <c r="G72" s="8" t="str">
        <f t="shared" si="2"/>
        <v>Unique</v>
      </c>
      <c r="I72" s="8" t="str">
        <f>IFERROR(__xludf.DUMMYFUNCTION("IF(C72="""",""Missing"",IF(REGEXMATCH(C72,""^[^@\s]+@[^@\s]+\.[^@\s]+$""),""Valid"",""Invalid""))"),"Valid")</f>
        <v>Valid</v>
      </c>
      <c r="J72" s="12" t="s">
        <v>428</v>
      </c>
      <c r="K72" s="12" t="s">
        <v>429</v>
      </c>
      <c r="L72" s="12" t="s">
        <v>75</v>
      </c>
      <c r="M72" s="8" t="str">
        <f t="shared" si="3"/>
        <v>United States</v>
      </c>
      <c r="N72" s="12" t="s">
        <v>39</v>
      </c>
      <c r="O72" s="12" t="s">
        <v>217</v>
      </c>
      <c r="P72" s="12" t="s">
        <v>65</v>
      </c>
      <c r="Q72" s="8" t="str">
        <f t="shared" si="4"/>
        <v>Won</v>
      </c>
      <c r="R72" s="16">
        <v>3000.0</v>
      </c>
      <c r="S72" s="17">
        <v>46031.0</v>
      </c>
      <c r="T72" s="17">
        <v>46043.0</v>
      </c>
      <c r="U72" s="8" t="s">
        <v>95</v>
      </c>
    </row>
    <row r="73" ht="15.75" customHeight="1">
      <c r="A73" s="12" t="s">
        <v>430</v>
      </c>
      <c r="B73" s="12" t="s">
        <v>373</v>
      </c>
      <c r="C73" s="13" t="s">
        <v>374</v>
      </c>
      <c r="D73" s="8" t="str">
        <f t="shared" si="1"/>
        <v>jose.gomez22@gmail.com</v>
      </c>
      <c r="G73" s="8" t="str">
        <f t="shared" si="2"/>
        <v>Duplicate</v>
      </c>
      <c r="H73" s="53" t="s">
        <v>69</v>
      </c>
      <c r="I73" s="8" t="str">
        <f>IFERROR(__xludf.DUMMYFUNCTION("IF(C73="""",""Missing"",IF(REGEXMATCH(C73,""^[^@\s]+@[^@\s]+\.[^@\s]+$""),""Valid"",""Invalid""))"),"Valid")</f>
        <v>Valid</v>
      </c>
      <c r="J73" s="12" t="s">
        <v>375</v>
      </c>
      <c r="K73" s="12" t="s">
        <v>376</v>
      </c>
      <c r="L73" s="12" t="s">
        <v>162</v>
      </c>
      <c r="M73" s="8" t="str">
        <f t="shared" si="3"/>
        <v>United States</v>
      </c>
      <c r="N73" s="12" t="s">
        <v>48</v>
      </c>
      <c r="O73" s="12" t="s">
        <v>76</v>
      </c>
      <c r="P73" s="12" t="s">
        <v>58</v>
      </c>
      <c r="Q73" s="8" t="str">
        <f t="shared" si="4"/>
        <v>Lost</v>
      </c>
      <c r="R73" s="16">
        <v>350.0</v>
      </c>
      <c r="S73" s="17">
        <v>46191.0</v>
      </c>
      <c r="T73" s="17">
        <v>46214.0</v>
      </c>
    </row>
    <row r="74" ht="15.75" customHeight="1">
      <c r="A74" s="12" t="s">
        <v>431</v>
      </c>
      <c r="B74" s="12" t="s">
        <v>432</v>
      </c>
      <c r="C74" s="13" t="s">
        <v>433</v>
      </c>
      <c r="D74" s="8" t="str">
        <f t="shared" si="1"/>
        <v>ricardo.lopez5@mail.com</v>
      </c>
      <c r="G74" s="8" t="str">
        <f t="shared" si="2"/>
        <v>Unique</v>
      </c>
      <c r="I74" s="8" t="str">
        <f>IFERROR(__xludf.DUMMYFUNCTION("IF(C74="""",""Missing"",IF(REGEXMATCH(C74,""^[^@\s]+@[^@\s]+\.[^@\s]+$""),""Valid"",""Invalid""))"),"Valid")</f>
        <v>Valid</v>
      </c>
      <c r="J74" s="12" t="s">
        <v>434</v>
      </c>
      <c r="K74" s="12"/>
      <c r="L74" s="12" t="s">
        <v>88</v>
      </c>
      <c r="M74" s="8" t="str">
        <f t="shared" si="3"/>
        <v>El Salvador</v>
      </c>
      <c r="N74" s="12" t="s">
        <v>133</v>
      </c>
      <c r="O74" s="12" t="s">
        <v>28</v>
      </c>
      <c r="P74" s="12" t="s">
        <v>134</v>
      </c>
      <c r="Q74" s="8" t="str">
        <f t="shared" si="4"/>
        <v>Qualified</v>
      </c>
      <c r="R74" s="16">
        <v>2500.0</v>
      </c>
      <c r="S74" s="17">
        <v>46125.0</v>
      </c>
      <c r="T74" s="17">
        <v>46150.0</v>
      </c>
      <c r="U74" s="8" t="s">
        <v>30</v>
      </c>
    </row>
    <row r="75" ht="15.75" customHeight="1">
      <c r="A75" s="12" t="s">
        <v>435</v>
      </c>
      <c r="B75" s="12" t="s">
        <v>436</v>
      </c>
      <c r="C75" s="13" t="s">
        <v>437</v>
      </c>
      <c r="D75" s="8" t="str">
        <f t="shared" si="1"/>
        <v>carolina.ortiz69@gmail.com</v>
      </c>
      <c r="G75" s="8" t="str">
        <f t="shared" si="2"/>
        <v>Unique</v>
      </c>
      <c r="I75" s="8" t="str">
        <f>IFERROR(__xludf.DUMMYFUNCTION("IF(C75="""",""Missing"",IF(REGEXMATCH(C75,""^[^@\s]+@[^@\s]+\.[^@\s]+$""),""Valid"",""Invalid""))"),"Valid")</f>
        <v>Valid</v>
      </c>
      <c r="J75" s="12" t="s">
        <v>438</v>
      </c>
      <c r="K75" s="12" t="s">
        <v>439</v>
      </c>
      <c r="L75" s="12" t="s">
        <v>220</v>
      </c>
      <c r="M75" s="8" t="str">
        <f t="shared" si="3"/>
        <v>Spain</v>
      </c>
      <c r="N75" s="12" t="s">
        <v>133</v>
      </c>
      <c r="O75" s="12" t="s">
        <v>40</v>
      </c>
      <c r="P75" s="12" t="s">
        <v>65</v>
      </c>
      <c r="Q75" s="8" t="str">
        <f t="shared" si="4"/>
        <v>Won</v>
      </c>
      <c r="R75" s="16">
        <v>350.0</v>
      </c>
      <c r="S75" s="17">
        <v>46223.0</v>
      </c>
      <c r="T75" s="17">
        <v>46248.0</v>
      </c>
      <c r="U75" s="8" t="s">
        <v>30</v>
      </c>
    </row>
    <row r="76" ht="15.75" customHeight="1">
      <c r="A76" s="12" t="s">
        <v>440</v>
      </c>
      <c r="B76" s="12" t="s">
        <v>441</v>
      </c>
      <c r="C76" s="13" t="s">
        <v>442</v>
      </c>
      <c r="D76" s="8" t="str">
        <f t="shared" si="1"/>
        <v>fernando.ramirez67@company.com</v>
      </c>
      <c r="G76" s="8" t="str">
        <f t="shared" si="2"/>
        <v>Unique</v>
      </c>
      <c r="I76" s="8" t="str">
        <f>IFERROR(__xludf.DUMMYFUNCTION("IF(C76="""",""Missing"",IF(REGEXMATCH(C76,""^[^@\s]+@[^@\s]+\.[^@\s]+$""),""Valid"",""Invalid""))"),"Valid")</f>
        <v>Valid</v>
      </c>
      <c r="J76" s="12"/>
      <c r="K76" s="12" t="s">
        <v>443</v>
      </c>
      <c r="L76" s="12" t="s">
        <v>216</v>
      </c>
      <c r="M76" s="8" t="str">
        <f t="shared" si="3"/>
        <v>Salvador</v>
      </c>
      <c r="N76" s="12" t="s">
        <v>39</v>
      </c>
      <c r="O76" s="12" t="s">
        <v>28</v>
      </c>
      <c r="P76" s="12" t="s">
        <v>29</v>
      </c>
      <c r="Q76" s="8" t="str">
        <f t="shared" si="4"/>
        <v>Contacted</v>
      </c>
      <c r="R76" s="16">
        <v>4500.0</v>
      </c>
      <c r="S76" s="17">
        <v>46085.0</v>
      </c>
      <c r="T76" s="17">
        <v>46117.0</v>
      </c>
      <c r="U76" s="8" t="s">
        <v>107</v>
      </c>
    </row>
    <row r="77" ht="15.75" customHeight="1">
      <c r="A77" s="12" t="s">
        <v>444</v>
      </c>
      <c r="B77" s="12" t="s">
        <v>445</v>
      </c>
      <c r="C77" s="13" t="s">
        <v>446</v>
      </c>
      <c r="D77" s="8" t="str">
        <f t="shared" si="1"/>
        <v>marta.rivera75@outlook.com</v>
      </c>
      <c r="G77" s="8" t="str">
        <f t="shared" si="2"/>
        <v>Unique</v>
      </c>
      <c r="I77" s="8" t="str">
        <f>IFERROR(__xludf.DUMMYFUNCTION("IF(C77="""",""Missing"",IF(REGEXMATCH(C77,""^[^@\s]+@[^@\s]+\.[^@\s]+$""),""Valid"",""Invalid""))"),"Valid")</f>
        <v>Valid</v>
      </c>
      <c r="J77" s="12" t="s">
        <v>447</v>
      </c>
      <c r="K77" s="12" t="s">
        <v>448</v>
      </c>
      <c r="L77" s="12" t="s">
        <v>283</v>
      </c>
      <c r="M77" s="8" t="str">
        <f t="shared" si="3"/>
        <v>Colombia</v>
      </c>
      <c r="N77" s="12" t="s">
        <v>48</v>
      </c>
      <c r="O77" s="12" t="s">
        <v>76</v>
      </c>
      <c r="P77" s="12" t="s">
        <v>50</v>
      </c>
      <c r="Q77" s="8" t="str">
        <f t="shared" si="4"/>
        <v>New</v>
      </c>
      <c r="R77" s="16">
        <v>2000.0</v>
      </c>
      <c r="S77" s="17">
        <v>46197.0</v>
      </c>
      <c r="T77" s="17">
        <v>46199.0</v>
      </c>
      <c r="U77" s="8" t="s">
        <v>41</v>
      </c>
    </row>
    <row r="78" ht="15.75" customHeight="1">
      <c r="A78" s="12" t="s">
        <v>449</v>
      </c>
      <c r="B78" s="12" t="s">
        <v>450</v>
      </c>
      <c r="C78" s="13" t="s">
        <v>451</v>
      </c>
      <c r="D78" s="8" t="str">
        <f t="shared" si="1"/>
        <v>isabel.rivera15@outlook.com</v>
      </c>
      <c r="G78" s="8" t="str">
        <f t="shared" si="2"/>
        <v>Unique</v>
      </c>
      <c r="I78" s="8" t="str">
        <f>IFERROR(__xludf.DUMMYFUNCTION("IF(C78="""",""Missing"",IF(REGEXMATCH(C78,""^[^@\s]+@[^@\s]+\.[^@\s]+$""),""Valid"",""Invalid""))"),"Valid")</f>
        <v>Valid</v>
      </c>
      <c r="J78" s="12" t="s">
        <v>452</v>
      </c>
      <c r="K78" s="12" t="s">
        <v>453</v>
      </c>
      <c r="L78" s="12" t="s">
        <v>454</v>
      </c>
      <c r="M78" s="8" t="str">
        <f t="shared" si="3"/>
        <v>Us</v>
      </c>
      <c r="N78" s="12" t="s">
        <v>27</v>
      </c>
      <c r="O78" s="12" t="s">
        <v>40</v>
      </c>
      <c r="P78" s="12" t="s">
        <v>58</v>
      </c>
      <c r="Q78" s="8" t="str">
        <f t="shared" si="4"/>
        <v>Lost</v>
      </c>
      <c r="R78" s="16">
        <v>500.0</v>
      </c>
      <c r="S78" s="17">
        <v>46150.0</v>
      </c>
      <c r="T78" s="17">
        <v>46194.0</v>
      </c>
      <c r="U78" s="8" t="s">
        <v>95</v>
      </c>
    </row>
    <row r="79" ht="15.75" customHeight="1">
      <c r="A79" s="12" t="s">
        <v>455</v>
      </c>
      <c r="B79" s="12" t="s">
        <v>456</v>
      </c>
      <c r="C79" s="13" t="s">
        <v>457</v>
      </c>
      <c r="D79" s="8" t="str">
        <f t="shared" si="1"/>
        <v>sergio.garcia86@outlook.com</v>
      </c>
      <c r="G79" s="8" t="str">
        <f t="shared" si="2"/>
        <v>Unique</v>
      </c>
      <c r="I79" s="8" t="str">
        <f>IFERROR(__xludf.DUMMYFUNCTION("IF(C79="""",""Missing"",IF(REGEXMATCH(C79,""^[^@\s]+@[^@\s]+\.[^@\s]+$""),""Valid"",""Invalid""))"),"Valid")</f>
        <v>Valid</v>
      </c>
      <c r="J79" s="12" t="s">
        <v>458</v>
      </c>
      <c r="K79" s="12" t="s">
        <v>288</v>
      </c>
      <c r="L79" s="12" t="s">
        <v>283</v>
      </c>
      <c r="M79" s="8" t="str">
        <f t="shared" si="3"/>
        <v>Colombia</v>
      </c>
      <c r="N79" s="12" t="s">
        <v>39</v>
      </c>
      <c r="O79" s="12" t="s">
        <v>40</v>
      </c>
      <c r="P79" s="12" t="s">
        <v>134</v>
      </c>
      <c r="Q79" s="8" t="str">
        <f t="shared" si="4"/>
        <v>Qualified</v>
      </c>
      <c r="R79" s="16">
        <v>750.0</v>
      </c>
      <c r="S79" s="17">
        <v>46061.0</v>
      </c>
      <c r="T79" s="17">
        <v>46069.0</v>
      </c>
      <c r="U79" s="8" t="s">
        <v>107</v>
      </c>
    </row>
    <row r="80" ht="15.75" customHeight="1">
      <c r="A80" s="12" t="s">
        <v>459</v>
      </c>
      <c r="B80" s="12" t="s">
        <v>460</v>
      </c>
      <c r="C80" s="13" t="s">
        <v>461</v>
      </c>
      <c r="D80" s="8" t="str">
        <f t="shared" si="1"/>
        <v>manuel.rodriguez68@gmail.com</v>
      </c>
      <c r="G80" s="8" t="str">
        <f t="shared" si="2"/>
        <v>Unique</v>
      </c>
      <c r="I80" s="8" t="str">
        <f>IFERROR(__xludf.DUMMYFUNCTION("IF(C80="""",""Missing"",IF(REGEXMATCH(C80,""^[^@\s]+@[^@\s]+\.[^@\s]+$""),""Valid"",""Invalid""))"),"Valid")</f>
        <v>Valid</v>
      </c>
      <c r="J80" s="12"/>
      <c r="K80" s="12" t="s">
        <v>462</v>
      </c>
      <c r="L80" s="12" t="s">
        <v>283</v>
      </c>
      <c r="M80" s="8" t="str">
        <f t="shared" si="3"/>
        <v>Colombia</v>
      </c>
      <c r="N80" s="12" t="s">
        <v>39</v>
      </c>
      <c r="O80" s="12" t="s">
        <v>28</v>
      </c>
      <c r="P80" s="12" t="s">
        <v>29</v>
      </c>
      <c r="Q80" s="8" t="str">
        <f t="shared" si="4"/>
        <v>Contacted</v>
      </c>
      <c r="R80" s="16">
        <v>2000.0</v>
      </c>
      <c r="S80" s="17">
        <v>46177.0</v>
      </c>
      <c r="T80" s="17">
        <v>46183.0</v>
      </c>
      <c r="U80" s="8" t="s">
        <v>30</v>
      </c>
    </row>
    <row r="81" ht="15.75" customHeight="1">
      <c r="A81" s="12" t="s">
        <v>463</v>
      </c>
      <c r="B81" s="12" t="s">
        <v>464</v>
      </c>
      <c r="C81" s="13" t="s">
        <v>465</v>
      </c>
      <c r="D81" s="8" t="str">
        <f t="shared" si="1"/>
        <v>david.rodriguez27@company.com</v>
      </c>
      <c r="G81" s="8" t="str">
        <f t="shared" si="2"/>
        <v>Unique</v>
      </c>
      <c r="I81" s="8" t="str">
        <f>IFERROR(__xludf.DUMMYFUNCTION("IF(C81="""",""Missing"",IF(REGEXMATCH(C81,""^[^@\s]+@[^@\s]+\.[^@\s]+$""),""Valid"",""Invalid""))"),"Valid")</f>
        <v>Valid</v>
      </c>
      <c r="J81" s="12" t="s">
        <v>466</v>
      </c>
      <c r="K81" s="12" t="s">
        <v>332</v>
      </c>
      <c r="L81" s="12" t="s">
        <v>216</v>
      </c>
      <c r="M81" s="8" t="str">
        <f t="shared" si="3"/>
        <v>Salvador</v>
      </c>
      <c r="N81" s="12" t="s">
        <v>57</v>
      </c>
      <c r="O81" s="12" t="s">
        <v>49</v>
      </c>
      <c r="P81" s="12"/>
      <c r="Q81" s="8" t="str">
        <f t="shared" si="4"/>
        <v/>
      </c>
      <c r="R81" s="16">
        <v>2000.0</v>
      </c>
      <c r="S81" s="17">
        <v>46108.0</v>
      </c>
      <c r="T81" s="17">
        <v>46108.0</v>
      </c>
      <c r="U81" s="8" t="s">
        <v>107</v>
      </c>
    </row>
    <row r="82" ht="15.75" customHeight="1">
      <c r="A82" s="12" t="s">
        <v>467</v>
      </c>
      <c r="B82" s="12" t="s">
        <v>136</v>
      </c>
      <c r="C82" s="13" t="s">
        <v>468</v>
      </c>
      <c r="D82" s="8" t="str">
        <f t="shared" si="1"/>
        <v>isabel.gomez42@mail.com</v>
      </c>
      <c r="G82" s="8" t="str">
        <f t="shared" si="2"/>
        <v>Unique</v>
      </c>
      <c r="I82" s="8" t="str">
        <f>IFERROR(__xludf.DUMMYFUNCTION("IF(C82="""",""Missing"",IF(REGEXMATCH(C82,""^[^@\s]+@[^@\s]+\.[^@\s]+$""),""Valid"",""Invalid""))"),"Valid")</f>
        <v>Valid</v>
      </c>
      <c r="J82" s="12" t="s">
        <v>469</v>
      </c>
      <c r="K82" s="12" t="s">
        <v>392</v>
      </c>
      <c r="L82" s="12" t="s">
        <v>168</v>
      </c>
      <c r="M82" s="8" t="str">
        <f t="shared" si="3"/>
        <v>Argentina</v>
      </c>
      <c r="N82" s="12" t="s">
        <v>57</v>
      </c>
      <c r="O82" s="12" t="s">
        <v>28</v>
      </c>
      <c r="P82" s="12" t="s">
        <v>58</v>
      </c>
      <c r="Q82" s="8" t="str">
        <f t="shared" si="4"/>
        <v>Lost</v>
      </c>
      <c r="R82" s="16">
        <v>3000.0</v>
      </c>
      <c r="S82" s="17">
        <v>46033.0</v>
      </c>
      <c r="T82" s="17">
        <v>46075.0</v>
      </c>
      <c r="U82" s="8" t="s">
        <v>41</v>
      </c>
    </row>
    <row r="83" ht="15.75" customHeight="1">
      <c r="A83" s="12" t="s">
        <v>470</v>
      </c>
      <c r="B83" s="12" t="s">
        <v>471</v>
      </c>
      <c r="C83" s="13" t="s">
        <v>472</v>
      </c>
      <c r="D83" s="8" t="str">
        <f t="shared" si="1"/>
        <v>daniel.diaz68@gmail.com</v>
      </c>
      <c r="G83" s="8" t="str">
        <f t="shared" si="2"/>
        <v>Unique</v>
      </c>
      <c r="I83" s="8" t="str">
        <f>IFERROR(__xludf.DUMMYFUNCTION("IF(C83="""",""Missing"",IF(REGEXMATCH(C83,""^[^@\s]+@[^@\s]+\.[^@\s]+$""),""Valid"",""Invalid""))"),"Valid")</f>
        <v>Valid</v>
      </c>
      <c r="J83" s="12" t="s">
        <v>473</v>
      </c>
      <c r="K83" s="12" t="s">
        <v>474</v>
      </c>
      <c r="L83" s="12" t="s">
        <v>168</v>
      </c>
      <c r="M83" s="8" t="str">
        <f t="shared" si="3"/>
        <v>Argentina</v>
      </c>
      <c r="N83" s="12" t="s">
        <v>27</v>
      </c>
      <c r="O83" s="12" t="s">
        <v>76</v>
      </c>
      <c r="P83" s="12" t="s">
        <v>134</v>
      </c>
      <c r="Q83" s="8" t="str">
        <f t="shared" si="4"/>
        <v>Qualified</v>
      </c>
      <c r="R83" s="16">
        <v>350.0</v>
      </c>
      <c r="S83" s="17">
        <v>46250.0</v>
      </c>
      <c r="T83" s="17">
        <v>46262.0</v>
      </c>
      <c r="U83" s="8" t="s">
        <v>41</v>
      </c>
    </row>
    <row r="84" ht="15.75" customHeight="1">
      <c r="A84" s="12" t="s">
        <v>475</v>
      </c>
      <c r="B84" s="12" t="s">
        <v>476</v>
      </c>
      <c r="C84" s="13" t="s">
        <v>477</v>
      </c>
      <c r="D84" s="8" t="str">
        <f t="shared" si="1"/>
        <v>luis.morales26@gmail.com</v>
      </c>
      <c r="G84" s="8" t="str">
        <f t="shared" si="2"/>
        <v>Unique</v>
      </c>
      <c r="I84" s="8" t="str">
        <f>IFERROR(__xludf.DUMMYFUNCTION("IF(C84="""",""Missing"",IF(REGEXMATCH(C84,""^[^@\s]+@[^@\s]+\.[^@\s]+$""),""Valid"",""Invalid""))"),"Valid")</f>
        <v>Valid</v>
      </c>
      <c r="J84" s="12" t="s">
        <v>478</v>
      </c>
      <c r="K84" s="12" t="s">
        <v>462</v>
      </c>
      <c r="L84" s="12" t="s">
        <v>168</v>
      </c>
      <c r="M84" s="8" t="str">
        <f t="shared" si="3"/>
        <v>Argentina</v>
      </c>
      <c r="N84" s="12" t="s">
        <v>39</v>
      </c>
      <c r="O84" s="12" t="s">
        <v>76</v>
      </c>
      <c r="P84" s="12" t="s">
        <v>77</v>
      </c>
      <c r="Q84" s="8" t="str">
        <f t="shared" si="4"/>
        <v>Proposal Sent</v>
      </c>
      <c r="R84" s="16">
        <v>4500.0</v>
      </c>
      <c r="S84" s="17">
        <v>46080.0</v>
      </c>
      <c r="T84" s="17">
        <v>46080.0</v>
      </c>
      <c r="U84" s="8" t="s">
        <v>95</v>
      </c>
    </row>
    <row r="85" ht="15.75" customHeight="1">
      <c r="A85" s="12" t="s">
        <v>479</v>
      </c>
      <c r="B85" s="12" t="s">
        <v>480</v>
      </c>
      <c r="C85" s="13" t="s">
        <v>481</v>
      </c>
      <c r="D85" s="8" t="str">
        <f t="shared" si="1"/>
        <v>ana.garcia24@mail.com</v>
      </c>
      <c r="G85" s="8" t="str">
        <f t="shared" si="2"/>
        <v>Unique</v>
      </c>
      <c r="I85" s="8" t="str">
        <f>IFERROR(__xludf.DUMMYFUNCTION("IF(C85="""",""Missing"",IF(REGEXMATCH(C85,""^[^@\s]+@[^@\s]+\.[^@\s]+$""),""Valid"",""Invalid""))"),"Valid")</f>
        <v>Valid</v>
      </c>
      <c r="J85" s="12" t="s">
        <v>482</v>
      </c>
      <c r="K85" s="12" t="s">
        <v>483</v>
      </c>
      <c r="L85" s="12" t="s">
        <v>220</v>
      </c>
      <c r="M85" s="8" t="str">
        <f t="shared" si="3"/>
        <v>Spain</v>
      </c>
      <c r="N85" s="12" t="s">
        <v>133</v>
      </c>
      <c r="O85" s="12" t="s">
        <v>217</v>
      </c>
      <c r="P85" s="12" t="s">
        <v>58</v>
      </c>
      <c r="Q85" s="8" t="str">
        <f t="shared" si="4"/>
        <v>Lost</v>
      </c>
      <c r="R85" s="16"/>
      <c r="S85" s="17">
        <v>46247.0</v>
      </c>
      <c r="T85" s="17">
        <v>46283.0</v>
      </c>
      <c r="U85" s="8" t="s">
        <v>95</v>
      </c>
    </row>
    <row r="86" ht="15.75" customHeight="1">
      <c r="A86" s="12" t="s">
        <v>484</v>
      </c>
      <c r="B86" s="12" t="s">
        <v>485</v>
      </c>
      <c r="C86" s="52"/>
      <c r="D86" s="8" t="str">
        <f t="shared" si="1"/>
        <v/>
      </c>
      <c r="G86" s="8" t="str">
        <f t="shared" si="2"/>
        <v>Missing Email</v>
      </c>
      <c r="I86" s="8" t="str">
        <f>IFERROR(__xludf.DUMMYFUNCTION("IF(C86="""",""Missing"",IF(REGEXMATCH(C86,""^[^@\s]+@[^@\s]+\.[^@\s]+$""),""Valid"",""Invalid""))"),"Missing")</f>
        <v>Missing</v>
      </c>
      <c r="J86" s="12" t="s">
        <v>487</v>
      </c>
      <c r="K86" s="12" t="s">
        <v>488</v>
      </c>
      <c r="L86" s="12" t="s">
        <v>489</v>
      </c>
      <c r="M86" s="8" t="str">
        <f t="shared" si="3"/>
        <v>Usa</v>
      </c>
      <c r="N86" s="12" t="s">
        <v>133</v>
      </c>
      <c r="O86" s="12" t="s">
        <v>76</v>
      </c>
      <c r="P86" s="12" t="s">
        <v>65</v>
      </c>
      <c r="Q86" s="8" t="str">
        <f t="shared" si="4"/>
        <v>Won</v>
      </c>
      <c r="R86" s="16">
        <v>500.0</v>
      </c>
      <c r="S86" s="17">
        <v>46060.0</v>
      </c>
      <c r="T86" s="17">
        <v>46097.0</v>
      </c>
      <c r="U86" s="8" t="s">
        <v>30</v>
      </c>
    </row>
    <row r="87" ht="15.75" customHeight="1">
      <c r="A87" s="12" t="s">
        <v>490</v>
      </c>
      <c r="B87" s="12" t="s">
        <v>491</v>
      </c>
      <c r="C87" s="13" t="s">
        <v>492</v>
      </c>
      <c r="D87" s="8" t="str">
        <f t="shared" si="1"/>
        <v>laura.gomez3@company.com</v>
      </c>
      <c r="G87" s="8" t="str">
        <f t="shared" si="2"/>
        <v>Unique</v>
      </c>
      <c r="I87" s="8" t="str">
        <f>IFERROR(__xludf.DUMMYFUNCTION("IF(C87="""",""Missing"",IF(REGEXMATCH(C87,""^[^@\s]+@[^@\s]+\.[^@\s]+$""),""Valid"",""Invalid""))"),"Valid")</f>
        <v>Valid</v>
      </c>
      <c r="J87" s="12" t="s">
        <v>493</v>
      </c>
      <c r="K87" s="12" t="s">
        <v>494</v>
      </c>
      <c r="L87" s="12" t="s">
        <v>26</v>
      </c>
      <c r="M87" s="8" t="str">
        <f t="shared" si="3"/>
        <v>Chile</v>
      </c>
      <c r="N87" s="12" t="s">
        <v>27</v>
      </c>
      <c r="O87" s="12" t="s">
        <v>28</v>
      </c>
      <c r="P87" s="12" t="s">
        <v>58</v>
      </c>
      <c r="Q87" s="8" t="str">
        <f t="shared" si="4"/>
        <v>Lost</v>
      </c>
      <c r="R87" s="16">
        <v>4500.0</v>
      </c>
      <c r="S87" s="17">
        <v>46097.0</v>
      </c>
      <c r="T87" s="17">
        <v>46105.0</v>
      </c>
    </row>
    <row r="88" ht="15.75" customHeight="1">
      <c r="A88" s="12" t="s">
        <v>499</v>
      </c>
      <c r="B88" s="12" t="s">
        <v>500</v>
      </c>
      <c r="C88" s="13" t="s">
        <v>502</v>
      </c>
      <c r="D88" s="8" t="str">
        <f t="shared" si="1"/>
        <v>isabel.gonzalez3@company.com</v>
      </c>
      <c r="G88" s="8" t="str">
        <f t="shared" si="2"/>
        <v>Unique</v>
      </c>
      <c r="I88" s="8" t="str">
        <f>IFERROR(__xludf.DUMMYFUNCTION("IF(C88="""",""Missing"",IF(REGEXMATCH(C88,""^[^@\s]+@[^@\s]+\.[^@\s]+$""),""Valid"",""Invalid""))"),"Valid")</f>
        <v>Valid</v>
      </c>
      <c r="J88" s="12" t="s">
        <v>508</v>
      </c>
      <c r="K88" s="12" t="s">
        <v>509</v>
      </c>
      <c r="L88" s="12" t="s">
        <v>454</v>
      </c>
      <c r="M88" s="8" t="str">
        <f t="shared" si="3"/>
        <v>Us</v>
      </c>
      <c r="N88" s="12" t="s">
        <v>133</v>
      </c>
      <c r="O88" s="12" t="s">
        <v>28</v>
      </c>
      <c r="P88" s="12" t="s">
        <v>77</v>
      </c>
      <c r="Q88" s="8" t="str">
        <f t="shared" si="4"/>
        <v>Proposal Sent</v>
      </c>
      <c r="R88" s="16">
        <v>2000.0</v>
      </c>
      <c r="S88" s="17">
        <v>46107.0</v>
      </c>
      <c r="T88" s="17">
        <v>46136.0</v>
      </c>
      <c r="U88" s="8" t="s">
        <v>95</v>
      </c>
    </row>
    <row r="89" ht="15.75" customHeight="1">
      <c r="A89" s="12" t="s">
        <v>516</v>
      </c>
      <c r="B89" s="12" t="s">
        <v>517</v>
      </c>
      <c r="C89" s="13" t="s">
        <v>518</v>
      </c>
      <c r="D89" s="8" t="str">
        <f t="shared" si="1"/>
        <v>laura.rivera45@gmail.com</v>
      </c>
      <c r="G89" s="8" t="str">
        <f t="shared" si="2"/>
        <v>Unique</v>
      </c>
      <c r="I89" s="8" t="str">
        <f>IFERROR(__xludf.DUMMYFUNCTION("IF(C89="""",""Missing"",IF(REGEXMATCH(C89,""^[^@\s]+@[^@\s]+\.[^@\s]+$""),""Valid"",""Invalid""))"),"Valid")</f>
        <v>Valid</v>
      </c>
      <c r="J89" s="12" t="s">
        <v>522</v>
      </c>
      <c r="K89" s="12" t="s">
        <v>259</v>
      </c>
      <c r="L89" s="12" t="s">
        <v>489</v>
      </c>
      <c r="M89" s="8" t="str">
        <f t="shared" si="3"/>
        <v>Usa</v>
      </c>
      <c r="N89" s="12" t="s">
        <v>48</v>
      </c>
      <c r="O89" s="12" t="s">
        <v>40</v>
      </c>
      <c r="P89" s="12"/>
      <c r="Q89" s="8" t="str">
        <f t="shared" si="4"/>
        <v/>
      </c>
      <c r="R89" s="16">
        <v>3000.0</v>
      </c>
      <c r="S89" s="17">
        <v>46060.0</v>
      </c>
      <c r="T89" s="17">
        <v>46075.0</v>
      </c>
      <c r="U89" s="8" t="s">
        <v>66</v>
      </c>
    </row>
    <row r="90" ht="15.75" customHeight="1">
      <c r="A90" s="12" t="s">
        <v>530</v>
      </c>
      <c r="B90" s="12" t="s">
        <v>531</v>
      </c>
      <c r="C90" s="13" t="s">
        <v>532</v>
      </c>
      <c r="D90" s="8" t="str">
        <f t="shared" si="1"/>
        <v>ana.flores62@gmail.com</v>
      </c>
      <c r="G90" s="8" t="str">
        <f t="shared" si="2"/>
        <v>Unique</v>
      </c>
      <c r="I90" s="8" t="str">
        <f>IFERROR(__xludf.DUMMYFUNCTION("IF(C90="""",""Missing"",IF(REGEXMATCH(C90,""^[^@\s]+@[^@\s]+\.[^@\s]+$""),""Valid"",""Invalid""))"),"Valid")</f>
        <v>Valid</v>
      </c>
      <c r="J90" s="12" t="s">
        <v>537</v>
      </c>
      <c r="K90" s="12" t="s">
        <v>167</v>
      </c>
      <c r="L90" s="12" t="s">
        <v>538</v>
      </c>
      <c r="M90" s="8" t="str">
        <f t="shared" si="3"/>
        <v>Spain</v>
      </c>
      <c r="N90" s="12" t="s">
        <v>27</v>
      </c>
      <c r="O90" s="12" t="s">
        <v>28</v>
      </c>
      <c r="P90" s="12" t="s">
        <v>58</v>
      </c>
      <c r="Q90" s="8" t="str">
        <f t="shared" si="4"/>
        <v>Lost</v>
      </c>
      <c r="R90" s="16">
        <v>1500.0</v>
      </c>
      <c r="S90" s="17">
        <v>46214.0</v>
      </c>
      <c r="T90" s="17">
        <v>46255.0</v>
      </c>
      <c r="U90" s="8" t="s">
        <v>66</v>
      </c>
    </row>
    <row r="91" ht="15.75" customHeight="1">
      <c r="A91" s="12" t="s">
        <v>541</v>
      </c>
      <c r="B91" s="12" t="s">
        <v>542</v>
      </c>
      <c r="C91" s="13" t="s">
        <v>543</v>
      </c>
      <c r="D91" s="8" t="str">
        <f t="shared" si="1"/>
        <v>valeria.castro40@mail.com</v>
      </c>
      <c r="G91" s="8" t="str">
        <f t="shared" si="2"/>
        <v>Unique</v>
      </c>
      <c r="I91" s="8" t="str">
        <f>IFERROR(__xludf.DUMMYFUNCTION("IF(C91="""",""Missing"",IF(REGEXMATCH(C91,""^[^@\s]+@[^@\s]+\.[^@\s]+$""),""Valid"",""Invalid""))"),"Valid")</f>
        <v>Valid</v>
      </c>
      <c r="J91" s="12" t="s">
        <v>544</v>
      </c>
      <c r="K91" s="12" t="s">
        <v>545</v>
      </c>
      <c r="L91" s="12" t="s">
        <v>546</v>
      </c>
      <c r="M91" s="8" t="str">
        <f t="shared" si="3"/>
        <v>Mexico</v>
      </c>
      <c r="N91" s="12" t="s">
        <v>39</v>
      </c>
      <c r="O91" s="12" t="s">
        <v>217</v>
      </c>
      <c r="P91" s="12" t="s">
        <v>65</v>
      </c>
      <c r="Q91" s="8" t="str">
        <f t="shared" si="4"/>
        <v>Won</v>
      </c>
      <c r="R91" s="16">
        <v>1200.0</v>
      </c>
      <c r="S91" s="17">
        <v>46267.0</v>
      </c>
      <c r="T91" s="17">
        <v>46287.0</v>
      </c>
    </row>
    <row r="92" ht="15.75" customHeight="1">
      <c r="A92" s="12" t="s">
        <v>547</v>
      </c>
      <c r="B92" s="12" t="s">
        <v>320</v>
      </c>
      <c r="C92" s="13" t="s">
        <v>548</v>
      </c>
      <c r="D92" s="8" t="str">
        <f t="shared" si="1"/>
        <v>patricia.rodriguez74@mail.com</v>
      </c>
      <c r="G92" s="8" t="str">
        <f t="shared" si="2"/>
        <v>Unique</v>
      </c>
      <c r="I92" s="8" t="str">
        <f>IFERROR(__xludf.DUMMYFUNCTION("IF(C92="""",""Missing"",IF(REGEXMATCH(C92,""^[^@\s]+@[^@\s]+\.[^@\s]+$""),""Valid"",""Invalid""))"),"Valid")</f>
        <v>Valid</v>
      </c>
      <c r="J92" s="12" t="s">
        <v>549</v>
      </c>
      <c r="K92" s="12"/>
      <c r="L92" s="12" t="s">
        <v>175</v>
      </c>
      <c r="M92" s="8" t="str">
        <f t="shared" si="3"/>
        <v>Peru</v>
      </c>
      <c r="N92" s="12" t="s">
        <v>39</v>
      </c>
      <c r="O92" s="12" t="s">
        <v>49</v>
      </c>
      <c r="P92" s="12" t="s">
        <v>65</v>
      </c>
      <c r="Q92" s="8" t="str">
        <f t="shared" si="4"/>
        <v>Won</v>
      </c>
      <c r="R92" s="16">
        <v>2000.0</v>
      </c>
      <c r="S92" s="17">
        <v>46253.0</v>
      </c>
      <c r="T92" s="17">
        <v>46266.0</v>
      </c>
      <c r="U92" s="8" t="s">
        <v>41</v>
      </c>
    </row>
    <row r="93" ht="15.75" customHeight="1">
      <c r="A93" s="12" t="s">
        <v>550</v>
      </c>
      <c r="B93" s="12" t="s">
        <v>551</v>
      </c>
      <c r="C93" s="13" t="s">
        <v>552</v>
      </c>
      <c r="D93" s="8" t="str">
        <f t="shared" si="1"/>
        <v>luis.gonzalez69@gmail.com</v>
      </c>
      <c r="G93" s="8" t="str">
        <f t="shared" si="2"/>
        <v>Unique</v>
      </c>
      <c r="I93" s="8" t="str">
        <f>IFERROR(__xludf.DUMMYFUNCTION("IF(C93="""",""Missing"",IF(REGEXMATCH(C93,""^[^@\s]+@[^@\s]+\.[^@\s]+$""),""Valid"",""Invalid""))"),"Valid")</f>
        <v>Valid</v>
      </c>
      <c r="J93" s="12" t="s">
        <v>553</v>
      </c>
      <c r="K93" s="12" t="s">
        <v>554</v>
      </c>
      <c r="L93" s="12" t="s">
        <v>26</v>
      </c>
      <c r="M93" s="8" t="str">
        <f t="shared" si="3"/>
        <v>Chile</v>
      </c>
      <c r="N93" s="12" t="s">
        <v>133</v>
      </c>
      <c r="O93" s="12" t="s">
        <v>40</v>
      </c>
      <c r="P93" s="12" t="s">
        <v>29</v>
      </c>
      <c r="Q93" s="8" t="str">
        <f t="shared" si="4"/>
        <v>Contacted</v>
      </c>
      <c r="R93" s="16">
        <v>750.0</v>
      </c>
      <c r="S93" s="17">
        <v>46120.0</v>
      </c>
      <c r="T93" s="17">
        <v>46159.0</v>
      </c>
      <c r="U93" s="8" t="s">
        <v>66</v>
      </c>
    </row>
    <row r="94" ht="15.75" customHeight="1">
      <c r="A94" s="12" t="s">
        <v>555</v>
      </c>
      <c r="B94" s="12" t="s">
        <v>476</v>
      </c>
      <c r="C94" s="13" t="s">
        <v>556</v>
      </c>
      <c r="D94" s="8" t="str">
        <f t="shared" si="1"/>
        <v>luis.morales55@company.com</v>
      </c>
      <c r="G94" s="8" t="str">
        <f t="shared" si="2"/>
        <v>Unique</v>
      </c>
      <c r="I94" s="8" t="str">
        <f>IFERROR(__xludf.DUMMYFUNCTION("IF(C94="""",""Missing"",IF(REGEXMATCH(C94,""^[^@\s]+@[^@\s]+\.[^@\s]+$""),""Valid"",""Invalid""))"),"Valid")</f>
        <v>Valid</v>
      </c>
      <c r="J94" s="12" t="s">
        <v>557</v>
      </c>
      <c r="K94" s="12" t="s">
        <v>112</v>
      </c>
      <c r="L94" s="12" t="s">
        <v>538</v>
      </c>
      <c r="M94" s="8" t="str">
        <f t="shared" si="3"/>
        <v>Spain</v>
      </c>
      <c r="N94" s="12" t="s">
        <v>48</v>
      </c>
      <c r="O94" s="12" t="s">
        <v>217</v>
      </c>
      <c r="P94" s="12" t="s">
        <v>77</v>
      </c>
      <c r="Q94" s="8" t="str">
        <f t="shared" si="4"/>
        <v>Proposal Sent</v>
      </c>
      <c r="R94" s="16">
        <v>1500.0</v>
      </c>
      <c r="S94" s="17">
        <v>46080.0</v>
      </c>
      <c r="T94" s="17">
        <v>46113.0</v>
      </c>
      <c r="U94" s="8" t="s">
        <v>30</v>
      </c>
    </row>
    <row r="95" ht="15.75" customHeight="1">
      <c r="A95" s="12" t="s">
        <v>558</v>
      </c>
      <c r="B95" s="12" t="s">
        <v>559</v>
      </c>
      <c r="C95" s="13" t="s">
        <v>560</v>
      </c>
      <c r="D95" s="8" t="str">
        <f t="shared" si="1"/>
        <v>david.gonzalez31@gmail.com</v>
      </c>
      <c r="G95" s="8" t="str">
        <f t="shared" si="2"/>
        <v>Unique</v>
      </c>
      <c r="I95" s="8" t="str">
        <f>IFERROR(__xludf.DUMMYFUNCTION("IF(C95="""",""Missing"",IF(REGEXMATCH(C95,""^[^@\s]+@[^@\s]+\.[^@\s]+$""),""Valid"",""Invalid""))"),"Valid")</f>
        <v>Valid</v>
      </c>
      <c r="J95" s="12" t="s">
        <v>561</v>
      </c>
      <c r="K95" s="12" t="s">
        <v>562</v>
      </c>
      <c r="L95" s="12" t="s">
        <v>140</v>
      </c>
      <c r="M95" s="8" t="str">
        <f t="shared" si="3"/>
        <v>Perú</v>
      </c>
      <c r="N95" s="12" t="s">
        <v>106</v>
      </c>
      <c r="O95" s="12" t="s">
        <v>40</v>
      </c>
      <c r="P95" s="12" t="s">
        <v>29</v>
      </c>
      <c r="Q95" s="8" t="str">
        <f t="shared" si="4"/>
        <v>Contacted</v>
      </c>
      <c r="R95" s="16">
        <v>2500.0</v>
      </c>
      <c r="S95" s="17">
        <v>46055.0</v>
      </c>
      <c r="T95" s="17">
        <v>46064.0</v>
      </c>
      <c r="U95" s="8" t="s">
        <v>66</v>
      </c>
    </row>
    <row r="96" ht="15.75" customHeight="1">
      <c r="A96" s="12" t="s">
        <v>563</v>
      </c>
      <c r="B96" s="12" t="s">
        <v>564</v>
      </c>
      <c r="C96" s="13" t="s">
        <v>565</v>
      </c>
      <c r="D96" s="8" t="str">
        <f t="shared" si="1"/>
        <v>carolina.garcia98@mail.com</v>
      </c>
      <c r="G96" s="8" t="str">
        <f t="shared" si="2"/>
        <v>Unique</v>
      </c>
      <c r="I96" s="8" t="str">
        <f>IFERROR(__xludf.DUMMYFUNCTION("IF(C96="""",""Missing"",IF(REGEXMATCH(C96,""^[^@\s]+@[^@\s]+\.[^@\s]+$""),""Valid"",""Invalid""))"),"Valid")</f>
        <v>Valid</v>
      </c>
      <c r="J96" s="12" t="s">
        <v>566</v>
      </c>
      <c r="K96" s="12" t="s">
        <v>453</v>
      </c>
      <c r="L96" s="12" t="s">
        <v>175</v>
      </c>
      <c r="M96" s="8" t="str">
        <f t="shared" si="3"/>
        <v>Peru</v>
      </c>
      <c r="N96" s="12" t="s">
        <v>27</v>
      </c>
      <c r="O96" s="12" t="s">
        <v>40</v>
      </c>
      <c r="P96" s="12" t="s">
        <v>58</v>
      </c>
      <c r="Q96" s="8" t="str">
        <f t="shared" si="4"/>
        <v>Lost</v>
      </c>
      <c r="R96" s="16"/>
      <c r="S96" s="17">
        <v>46256.0</v>
      </c>
      <c r="T96" s="17">
        <v>46290.0</v>
      </c>
    </row>
    <row r="97" ht="15.75" customHeight="1">
      <c r="A97" s="12" t="s">
        <v>567</v>
      </c>
      <c r="B97" s="12" t="s">
        <v>568</v>
      </c>
      <c r="C97" s="13" t="s">
        <v>569</v>
      </c>
      <c r="D97" s="8" t="str">
        <f t="shared" si="1"/>
        <v>sergio.gomez44@mail.com</v>
      </c>
      <c r="G97" s="8" t="str">
        <f t="shared" si="2"/>
        <v>Unique</v>
      </c>
      <c r="I97" s="8" t="str">
        <f>IFERROR(__xludf.DUMMYFUNCTION("IF(C97="""",""Missing"",IF(REGEXMATCH(C97,""^[^@\s]+@[^@\s]+\.[^@\s]+$""),""Valid"",""Invalid""))"),"Valid")</f>
        <v>Valid</v>
      </c>
      <c r="J97" s="12" t="s">
        <v>570</v>
      </c>
      <c r="K97" s="12" t="s">
        <v>571</v>
      </c>
      <c r="L97" s="12" t="s">
        <v>248</v>
      </c>
      <c r="M97" s="8" t="str">
        <f t="shared" si="3"/>
        <v>Colombia</v>
      </c>
      <c r="N97" s="12" t="s">
        <v>57</v>
      </c>
      <c r="O97" s="12" t="s">
        <v>217</v>
      </c>
      <c r="P97" s="12" t="s">
        <v>50</v>
      </c>
      <c r="Q97" s="8" t="str">
        <f t="shared" si="4"/>
        <v>New</v>
      </c>
      <c r="R97" s="16"/>
      <c r="S97" s="17">
        <v>46043.0</v>
      </c>
      <c r="T97" s="17">
        <v>46051.0</v>
      </c>
      <c r="U97" s="8" t="s">
        <v>41</v>
      </c>
    </row>
    <row r="98" ht="15.75" customHeight="1">
      <c r="A98" s="12" t="s">
        <v>572</v>
      </c>
      <c r="B98" s="12" t="s">
        <v>573</v>
      </c>
      <c r="C98" s="13" t="s">
        <v>574</v>
      </c>
      <c r="D98" s="8" t="str">
        <f t="shared" si="1"/>
        <v>sergio.navarro85@gmail.com</v>
      </c>
      <c r="G98" s="8" t="str">
        <f t="shared" si="2"/>
        <v>Unique</v>
      </c>
      <c r="I98" s="8" t="str">
        <f>IFERROR(__xludf.DUMMYFUNCTION("IF(C98="""",""Missing"",IF(REGEXMATCH(C98,""^[^@\s]+@[^@\s]+\.[^@\s]+$""),""Valid"",""Invalid""))"),"Valid")</f>
        <v>Valid</v>
      </c>
      <c r="J98" s="12" t="s">
        <v>575</v>
      </c>
      <c r="K98" s="12" t="s">
        <v>576</v>
      </c>
      <c r="L98" s="12" t="s">
        <v>162</v>
      </c>
      <c r="M98" s="8" t="str">
        <f t="shared" si="3"/>
        <v>United States</v>
      </c>
      <c r="N98" s="12" t="s">
        <v>39</v>
      </c>
      <c r="O98" s="12" t="s">
        <v>217</v>
      </c>
      <c r="P98" s="12" t="s">
        <v>577</v>
      </c>
      <c r="Q98" s="8" t="str">
        <f t="shared" si="4"/>
        <v>Contacted</v>
      </c>
      <c r="R98" s="16">
        <v>2000.0</v>
      </c>
      <c r="S98" s="17">
        <v>46141.0</v>
      </c>
      <c r="T98" s="17">
        <v>46158.0</v>
      </c>
      <c r="U98" s="8" t="s">
        <v>30</v>
      </c>
    </row>
    <row r="99" ht="15.75" customHeight="1">
      <c r="A99" s="12" t="s">
        <v>578</v>
      </c>
      <c r="B99" s="12" t="s">
        <v>579</v>
      </c>
      <c r="C99" s="52"/>
      <c r="D99" s="8" t="str">
        <f t="shared" si="1"/>
        <v/>
      </c>
      <c r="G99" s="8" t="str">
        <f t="shared" si="2"/>
        <v>Missing Email</v>
      </c>
      <c r="I99" s="8" t="str">
        <f>IFERROR(__xludf.DUMMYFUNCTION("IF(C99="""",""Missing"",IF(REGEXMATCH(C99,""^[^@\s]+@[^@\s]+\.[^@\s]+$""),""Valid"",""Invalid""))"),"Missing")</f>
        <v>Missing</v>
      </c>
      <c r="J99" s="12" t="s">
        <v>580</v>
      </c>
      <c r="K99" s="12" t="s">
        <v>581</v>
      </c>
      <c r="L99" s="12" t="s">
        <v>582</v>
      </c>
      <c r="M99" s="8" t="str">
        <f t="shared" si="3"/>
        <v>Spain</v>
      </c>
      <c r="N99" s="12" t="s">
        <v>57</v>
      </c>
      <c r="O99" s="12" t="s">
        <v>76</v>
      </c>
      <c r="P99" s="12" t="s">
        <v>77</v>
      </c>
      <c r="Q99" s="8" t="str">
        <f t="shared" si="4"/>
        <v>Proposal Sent</v>
      </c>
      <c r="R99" s="16">
        <v>2000.0</v>
      </c>
      <c r="S99" s="17">
        <v>46041.0</v>
      </c>
      <c r="T99" s="17">
        <v>46061.0</v>
      </c>
      <c r="U99" s="8" t="s">
        <v>66</v>
      </c>
    </row>
    <row r="100" ht="15.75" customHeight="1">
      <c r="A100" s="12" t="s">
        <v>583</v>
      </c>
      <c r="B100" s="12" t="s">
        <v>584</v>
      </c>
      <c r="C100" s="13" t="s">
        <v>585</v>
      </c>
      <c r="D100" s="8" t="str">
        <f t="shared" si="1"/>
        <v>carolina.navarro58@gmail.com</v>
      </c>
      <c r="G100" s="8" t="str">
        <f t="shared" si="2"/>
        <v>Unique</v>
      </c>
      <c r="I100" s="8" t="str">
        <f>IFERROR(__xludf.DUMMYFUNCTION("IF(C100="""",""Missing"",IF(REGEXMATCH(C100,""^[^@\s]+@[^@\s]+\.[^@\s]+$""),""Valid"",""Invalid""))"),"Valid")</f>
        <v>Valid</v>
      </c>
      <c r="J100" s="12" t="s">
        <v>586</v>
      </c>
      <c r="K100" s="12" t="s">
        <v>131</v>
      </c>
      <c r="L100" s="12" t="s">
        <v>47</v>
      </c>
      <c r="M100" s="8" t="str">
        <f t="shared" si="3"/>
        <v>El Salvador</v>
      </c>
      <c r="N100" s="12" t="s">
        <v>133</v>
      </c>
      <c r="O100" s="12" t="s">
        <v>40</v>
      </c>
      <c r="P100" s="12" t="s">
        <v>134</v>
      </c>
      <c r="Q100" s="8" t="str">
        <f t="shared" si="4"/>
        <v>Qualified</v>
      </c>
      <c r="R100" s="16">
        <v>1500.0</v>
      </c>
      <c r="S100" s="17">
        <v>46183.0</v>
      </c>
      <c r="T100" s="17">
        <v>46199.0</v>
      </c>
      <c r="U100" s="8" t="s">
        <v>107</v>
      </c>
    </row>
    <row r="101" ht="15.75" customHeight="1">
      <c r="A101" s="12" t="s">
        <v>587</v>
      </c>
      <c r="B101" s="12" t="s">
        <v>588</v>
      </c>
      <c r="C101" s="13" t="s">
        <v>589</v>
      </c>
      <c r="D101" s="8" t="str">
        <f t="shared" si="1"/>
        <v>patricia.martinez26@gmail.com</v>
      </c>
      <c r="G101" s="8" t="str">
        <f t="shared" si="2"/>
        <v>Duplicate</v>
      </c>
      <c r="I101" s="8" t="str">
        <f>IFERROR(__xludf.DUMMYFUNCTION("IF(C101="""",""Missing"",IF(REGEXMATCH(C101,""^[^@\s]+@[^@\s]+\.[^@\s]+$""),""Valid"",""Invalid""))"),"Valid")</f>
        <v>Valid</v>
      </c>
      <c r="J101" s="12" t="s">
        <v>590</v>
      </c>
      <c r="K101" s="12" t="s">
        <v>591</v>
      </c>
      <c r="L101" s="12" t="s">
        <v>47</v>
      </c>
      <c r="M101" s="8" t="str">
        <f t="shared" si="3"/>
        <v>El Salvador</v>
      </c>
      <c r="N101" s="12" t="s">
        <v>57</v>
      </c>
      <c r="O101" s="12" t="s">
        <v>28</v>
      </c>
      <c r="P101" s="12" t="s">
        <v>29</v>
      </c>
      <c r="Q101" s="8" t="str">
        <f t="shared" si="4"/>
        <v>Contacted</v>
      </c>
      <c r="R101" s="16">
        <v>1200.0</v>
      </c>
      <c r="S101" s="17">
        <v>46232.0</v>
      </c>
      <c r="T101" s="17">
        <v>46254.0</v>
      </c>
      <c r="V101" s="4">
        <f>IFERROR(__xludf.DUMMYFUNCTION("COUNTA(UNIQUE(FILTER(D94:D293,G94:G293=""Duplicate"")))"),5.0)</f>
        <v>5</v>
      </c>
    </row>
    <row r="102" ht="15.75" customHeight="1">
      <c r="A102" s="12" t="s">
        <v>592</v>
      </c>
      <c r="B102" s="12" t="s">
        <v>593</v>
      </c>
      <c r="C102" s="13" t="s">
        <v>594</v>
      </c>
      <c r="D102" s="8" t="str">
        <f t="shared" si="1"/>
        <v>david.navarro78@company.com</v>
      </c>
      <c r="G102" s="8" t="str">
        <f t="shared" si="2"/>
        <v>Unique</v>
      </c>
      <c r="I102" s="8" t="str">
        <f>IFERROR(__xludf.DUMMYFUNCTION("IF(C102="""",""Missing"",IF(REGEXMATCH(C102,""^[^@\s]+@[^@\s]+\.[^@\s]+$""),""Valid"",""Invalid""))"),"Valid")</f>
        <v>Valid</v>
      </c>
      <c r="J102" s="12" t="s">
        <v>595</v>
      </c>
      <c r="K102" s="12" t="s">
        <v>100</v>
      </c>
      <c r="L102" s="12" t="s">
        <v>140</v>
      </c>
      <c r="M102" s="8" t="str">
        <f t="shared" si="3"/>
        <v>Perú</v>
      </c>
      <c r="N102" s="12" t="s">
        <v>39</v>
      </c>
      <c r="O102" s="12" t="s">
        <v>28</v>
      </c>
      <c r="P102" s="12" t="s">
        <v>29</v>
      </c>
      <c r="Q102" s="8" t="str">
        <f t="shared" si="4"/>
        <v>Contacted</v>
      </c>
      <c r="R102" s="16">
        <v>2500.0</v>
      </c>
      <c r="S102" s="17">
        <v>46131.0</v>
      </c>
      <c r="T102" s="17">
        <v>46160.0</v>
      </c>
      <c r="U102" s="8" t="s">
        <v>107</v>
      </c>
    </row>
    <row r="103" ht="15.75" customHeight="1">
      <c r="A103" s="12" t="s">
        <v>596</v>
      </c>
      <c r="B103" s="12" t="s">
        <v>369</v>
      </c>
      <c r="C103" s="13" t="s">
        <v>597</v>
      </c>
      <c r="D103" s="8" t="str">
        <f t="shared" si="1"/>
        <v>fernando.diaz28@gmail.com</v>
      </c>
      <c r="G103" s="8" t="str">
        <f t="shared" si="2"/>
        <v>Unique</v>
      </c>
      <c r="I103" s="8" t="str">
        <f>IFERROR(__xludf.DUMMYFUNCTION("IF(C103="""",""Missing"",IF(REGEXMATCH(C103,""^[^@\s]+@[^@\s]+\.[^@\s]+$""),""Valid"",""Invalid""))"),"Valid")</f>
        <v>Valid</v>
      </c>
      <c r="J103" s="12" t="s">
        <v>598</v>
      </c>
      <c r="K103" s="12" t="s">
        <v>571</v>
      </c>
      <c r="L103" s="12" t="s">
        <v>47</v>
      </c>
      <c r="M103" s="8" t="str">
        <f t="shared" si="3"/>
        <v>El Salvador</v>
      </c>
      <c r="N103" s="12" t="s">
        <v>27</v>
      </c>
      <c r="O103" s="12" t="s">
        <v>217</v>
      </c>
      <c r="P103" s="12" t="s">
        <v>134</v>
      </c>
      <c r="Q103" s="8" t="str">
        <f t="shared" si="4"/>
        <v>Qualified</v>
      </c>
      <c r="R103" s="16">
        <v>2000.0</v>
      </c>
      <c r="S103" s="17">
        <v>46227.0</v>
      </c>
      <c r="T103" s="17">
        <v>46247.0</v>
      </c>
      <c r="U103" s="8" t="s">
        <v>41</v>
      </c>
    </row>
    <row r="104" ht="15.75" customHeight="1">
      <c r="A104" s="12" t="s">
        <v>599</v>
      </c>
      <c r="B104" s="12" t="s">
        <v>600</v>
      </c>
      <c r="C104" s="13" t="s">
        <v>601</v>
      </c>
      <c r="D104" s="8" t="str">
        <f t="shared" si="1"/>
        <v>patricia.vargas46@mail.com</v>
      </c>
      <c r="G104" s="8" t="str">
        <f t="shared" si="2"/>
        <v>Unique</v>
      </c>
      <c r="I104" s="8" t="str">
        <f>IFERROR(__xludf.DUMMYFUNCTION("IF(C104="""",""Missing"",IF(REGEXMATCH(C104,""^[^@\s]+@[^@\s]+\.[^@\s]+$""),""Valid"",""Invalid""))"),"Valid")</f>
        <v>Valid</v>
      </c>
      <c r="J104" s="12" t="s">
        <v>602</v>
      </c>
      <c r="K104" s="12" t="s">
        <v>603</v>
      </c>
      <c r="L104" s="12" t="s">
        <v>205</v>
      </c>
      <c r="M104" s="8" t="str">
        <f t="shared" si="3"/>
        <v>Chile</v>
      </c>
      <c r="N104" s="12" t="s">
        <v>106</v>
      </c>
      <c r="O104" s="12" t="s">
        <v>28</v>
      </c>
      <c r="P104" s="12" t="s">
        <v>65</v>
      </c>
      <c r="Q104" s="8" t="str">
        <f t="shared" si="4"/>
        <v>Won</v>
      </c>
      <c r="R104" s="16">
        <v>4500.0</v>
      </c>
      <c r="S104" s="17">
        <v>46075.0</v>
      </c>
      <c r="T104" s="17">
        <v>46099.0</v>
      </c>
      <c r="U104" s="8" t="s">
        <v>107</v>
      </c>
    </row>
    <row r="105" ht="15.75" customHeight="1">
      <c r="A105" s="12" t="s">
        <v>604</v>
      </c>
      <c r="B105" s="12" t="s">
        <v>605</v>
      </c>
      <c r="C105" s="13" t="s">
        <v>606</v>
      </c>
      <c r="D105" s="8" t="str">
        <f t="shared" si="1"/>
        <v>ana.lopez5@mail.com</v>
      </c>
      <c r="G105" s="8" t="str">
        <f t="shared" si="2"/>
        <v>Unique</v>
      </c>
      <c r="I105" s="8" t="str">
        <f>IFERROR(__xludf.DUMMYFUNCTION("IF(C105="""",""Missing"",IF(REGEXMATCH(C105,""^[^@\s]+@[^@\s]+\.[^@\s]+$""),""Valid"",""Invalid""))"),"Valid")</f>
        <v>Valid</v>
      </c>
      <c r="J105" s="12" t="s">
        <v>607</v>
      </c>
      <c r="K105" s="12" t="s">
        <v>608</v>
      </c>
      <c r="L105" s="12" t="s">
        <v>489</v>
      </c>
      <c r="M105" s="8" t="str">
        <f t="shared" si="3"/>
        <v>Usa</v>
      </c>
      <c r="N105" s="12" t="s">
        <v>133</v>
      </c>
      <c r="O105" s="12" t="s">
        <v>28</v>
      </c>
      <c r="P105" s="12" t="s">
        <v>609</v>
      </c>
      <c r="Q105" s="8" t="str">
        <f t="shared" si="4"/>
        <v>Proposal</v>
      </c>
      <c r="R105" s="16">
        <v>4500.0</v>
      </c>
      <c r="S105" s="17">
        <v>46157.0</v>
      </c>
      <c r="T105" s="17">
        <v>46184.0</v>
      </c>
    </row>
    <row r="106" ht="15.75" customHeight="1">
      <c r="A106" s="12" t="s">
        <v>610</v>
      </c>
      <c r="B106" s="12" t="s">
        <v>542</v>
      </c>
      <c r="C106" s="13" t="s">
        <v>611</v>
      </c>
      <c r="D106" s="8" t="str">
        <f t="shared" si="1"/>
        <v>valeria.castro17@gmail.com</v>
      </c>
      <c r="G106" s="8" t="str">
        <f t="shared" si="2"/>
        <v>Unique</v>
      </c>
      <c r="I106" s="8" t="str">
        <f>IFERROR(__xludf.DUMMYFUNCTION("IF(C106="""",""Missing"",IF(REGEXMATCH(C106,""^[^@\s]+@[^@\s]+\.[^@\s]+$""),""Valid"",""Invalid""))"),"Valid")</f>
        <v>Valid</v>
      </c>
      <c r="J106" s="12" t="s">
        <v>612</v>
      </c>
      <c r="K106" s="12" t="s">
        <v>237</v>
      </c>
      <c r="L106" s="12" t="s">
        <v>361</v>
      </c>
      <c r="M106" s="8" t="str">
        <f t="shared" si="3"/>
        <v>Mexico</v>
      </c>
      <c r="N106" s="12" t="s">
        <v>39</v>
      </c>
      <c r="O106" s="12" t="s">
        <v>40</v>
      </c>
      <c r="P106" s="12" t="s">
        <v>50</v>
      </c>
      <c r="Q106" s="8" t="str">
        <f t="shared" si="4"/>
        <v>New</v>
      </c>
      <c r="R106" s="16">
        <v>2500.0</v>
      </c>
      <c r="S106" s="17">
        <v>46112.0</v>
      </c>
      <c r="T106" s="17">
        <v>46123.0</v>
      </c>
      <c r="U106" s="8" t="s">
        <v>30</v>
      </c>
    </row>
    <row r="107" ht="15.75" customHeight="1">
      <c r="A107" s="12" t="s">
        <v>613</v>
      </c>
      <c r="B107" s="12" t="s">
        <v>614</v>
      </c>
      <c r="C107" s="13" t="s">
        <v>615</v>
      </c>
      <c r="D107" s="8" t="str">
        <f t="shared" si="1"/>
        <v>valeria.garcia11@outlook.com</v>
      </c>
      <c r="G107" s="8" t="str">
        <f t="shared" si="2"/>
        <v>Unique</v>
      </c>
      <c r="I107" s="8" t="str">
        <f>IFERROR(__xludf.DUMMYFUNCTION("IF(C107="""",""Missing"",IF(REGEXMATCH(C107,""^[^@\s]+@[^@\s]+\.[^@\s]+$""),""Valid"",""Invalid""))"),"Valid")</f>
        <v>Valid</v>
      </c>
      <c r="J107" s="12" t="s">
        <v>616</v>
      </c>
      <c r="K107" s="12" t="s">
        <v>617</v>
      </c>
      <c r="L107" s="12" t="s">
        <v>26</v>
      </c>
      <c r="M107" s="8" t="str">
        <f t="shared" si="3"/>
        <v>Chile</v>
      </c>
      <c r="N107" s="12" t="s">
        <v>106</v>
      </c>
      <c r="O107" s="12" t="s">
        <v>40</v>
      </c>
      <c r="P107" s="12" t="s">
        <v>65</v>
      </c>
      <c r="Q107" s="8" t="str">
        <f t="shared" si="4"/>
        <v>Won</v>
      </c>
      <c r="R107" s="16">
        <v>900.0</v>
      </c>
      <c r="S107" s="17">
        <v>46247.0</v>
      </c>
      <c r="T107" s="17">
        <v>46290.0</v>
      </c>
      <c r="U107" s="8" t="s">
        <v>30</v>
      </c>
    </row>
    <row r="108" ht="15.75" customHeight="1">
      <c r="A108" s="12" t="s">
        <v>618</v>
      </c>
      <c r="B108" s="12" t="s">
        <v>619</v>
      </c>
      <c r="C108" s="13" t="s">
        <v>621</v>
      </c>
      <c r="D108" s="8" t="str">
        <f t="shared" si="1"/>
        <v>manuel.castro90@company.com</v>
      </c>
      <c r="G108" s="8" t="str">
        <f t="shared" si="2"/>
        <v>Unique</v>
      </c>
      <c r="I108" s="8" t="str">
        <f>IFERROR(__xludf.DUMMYFUNCTION("IF(C108="""",""Missing"",IF(REGEXMATCH(C108,""^[^@\s]+@[^@\s]+\.[^@\s]+$""),""Valid"",""Invalid""))"),"Valid")</f>
        <v>Valid</v>
      </c>
      <c r="J108" s="12" t="s">
        <v>622</v>
      </c>
      <c r="K108" s="12" t="s">
        <v>453</v>
      </c>
      <c r="L108" s="12" t="s">
        <v>220</v>
      </c>
      <c r="M108" s="8" t="str">
        <f t="shared" si="3"/>
        <v>Spain</v>
      </c>
      <c r="N108" s="12" t="s">
        <v>48</v>
      </c>
      <c r="O108" s="12" t="s">
        <v>76</v>
      </c>
      <c r="P108" s="12" t="s">
        <v>77</v>
      </c>
      <c r="Q108" s="8" t="str">
        <f t="shared" si="4"/>
        <v>Proposal Sent</v>
      </c>
      <c r="R108" s="16">
        <v>750.0</v>
      </c>
      <c r="S108" s="17">
        <v>46111.0</v>
      </c>
      <c r="T108" s="17">
        <v>46144.0</v>
      </c>
    </row>
    <row r="109" ht="15.75" customHeight="1">
      <c r="A109" s="12" t="s">
        <v>624</v>
      </c>
      <c r="B109" s="12" t="s">
        <v>625</v>
      </c>
      <c r="C109" s="13" t="s">
        <v>626</v>
      </c>
      <c r="D109" s="8" t="str">
        <f t="shared" si="1"/>
        <v>miguel.castro98@mail.com</v>
      </c>
      <c r="G109" s="8" t="str">
        <f t="shared" si="2"/>
        <v>Unique</v>
      </c>
      <c r="I109" s="8" t="str">
        <f>IFERROR(__xludf.DUMMYFUNCTION("IF(C109="""",""Missing"",IF(REGEXMATCH(C109,""^[^@\s]+@[^@\s]+\.[^@\s]+$""),""Valid"",""Invalid""))"),"Valid")</f>
        <v>Valid</v>
      </c>
      <c r="J109" s="12" t="s">
        <v>627</v>
      </c>
      <c r="K109" s="12" t="s">
        <v>210</v>
      </c>
      <c r="L109" s="12" t="s">
        <v>174</v>
      </c>
      <c r="M109" s="8" t="str">
        <f t="shared" si="3"/>
        <v>Colombia</v>
      </c>
      <c r="N109" s="12" t="s">
        <v>57</v>
      </c>
      <c r="O109" s="12" t="s">
        <v>40</v>
      </c>
      <c r="P109" s="12" t="s">
        <v>77</v>
      </c>
      <c r="Q109" s="8" t="str">
        <f t="shared" si="4"/>
        <v>Proposal Sent</v>
      </c>
      <c r="R109" s="16">
        <v>900.0</v>
      </c>
      <c r="S109" s="17">
        <v>46087.0</v>
      </c>
      <c r="T109" s="17">
        <v>46107.0</v>
      </c>
      <c r="U109" s="8" t="s">
        <v>66</v>
      </c>
    </row>
    <row r="110" ht="15.75" customHeight="1">
      <c r="A110" s="12" t="s">
        <v>629</v>
      </c>
      <c r="B110" s="12" t="s">
        <v>630</v>
      </c>
      <c r="C110" s="13" t="s">
        <v>631</v>
      </c>
      <c r="D110" s="8" t="str">
        <f t="shared" si="1"/>
        <v>ana.hernandez93@outlook.com</v>
      </c>
      <c r="G110" s="8" t="str">
        <f t="shared" si="2"/>
        <v>Unique</v>
      </c>
      <c r="I110" s="8" t="str">
        <f>IFERROR(__xludf.DUMMYFUNCTION("IF(C110="""",""Missing"",IF(REGEXMATCH(C110,""^[^@\s]+@[^@\s]+\.[^@\s]+$""),""Valid"",""Invalid""))"),"Valid")</f>
        <v>Valid</v>
      </c>
      <c r="J110" s="12" t="s">
        <v>633</v>
      </c>
      <c r="K110" s="12" t="s">
        <v>634</v>
      </c>
      <c r="L110" s="12" t="s">
        <v>38</v>
      </c>
      <c r="M110" s="8" t="str">
        <f t="shared" si="3"/>
        <v>Chile</v>
      </c>
      <c r="N110" s="12" t="s">
        <v>57</v>
      </c>
      <c r="O110" s="12" t="s">
        <v>49</v>
      </c>
      <c r="P110" s="12" t="s">
        <v>29</v>
      </c>
      <c r="Q110" s="8" t="str">
        <f t="shared" si="4"/>
        <v>Contacted</v>
      </c>
      <c r="R110" s="16">
        <v>3000.0</v>
      </c>
      <c r="S110" s="17">
        <v>46153.0</v>
      </c>
      <c r="T110" s="17">
        <v>46171.0</v>
      </c>
    </row>
    <row r="111" ht="15.75" customHeight="1">
      <c r="A111" s="12" t="s">
        <v>636</v>
      </c>
      <c r="B111" s="12" t="s">
        <v>637</v>
      </c>
      <c r="C111" s="13" t="s">
        <v>638</v>
      </c>
      <c r="D111" s="8" t="str">
        <f t="shared" si="1"/>
        <v>miguel.ramirez23@mail.com</v>
      </c>
      <c r="G111" s="8" t="str">
        <f t="shared" si="2"/>
        <v>Unique</v>
      </c>
      <c r="I111" s="8" t="str">
        <f>IFERROR(__xludf.DUMMYFUNCTION("IF(C111="""",""Missing"",IF(REGEXMATCH(C111,""^[^@\s]+@[^@\s]+\.[^@\s]+$""),""Valid"",""Invalid""))"),"Valid")</f>
        <v>Valid</v>
      </c>
      <c r="J111" s="12" t="s">
        <v>639</v>
      </c>
      <c r="K111" s="12" t="s">
        <v>640</v>
      </c>
      <c r="L111" s="12" t="s">
        <v>454</v>
      </c>
      <c r="M111" s="8" t="str">
        <f t="shared" si="3"/>
        <v>Us</v>
      </c>
      <c r="N111" s="12" t="s">
        <v>106</v>
      </c>
      <c r="O111" s="12" t="s">
        <v>76</v>
      </c>
      <c r="P111" s="12" t="s">
        <v>58</v>
      </c>
      <c r="Q111" s="8" t="str">
        <f t="shared" si="4"/>
        <v>Lost</v>
      </c>
      <c r="R111" s="16">
        <v>1500.0</v>
      </c>
      <c r="S111" s="17">
        <v>46062.0</v>
      </c>
      <c r="T111" s="17">
        <v>46064.0</v>
      </c>
      <c r="U111" s="8" t="s">
        <v>95</v>
      </c>
    </row>
    <row r="112" ht="15.75" customHeight="1">
      <c r="A112" s="12" t="s">
        <v>642</v>
      </c>
      <c r="B112" s="12" t="s">
        <v>373</v>
      </c>
      <c r="C112" s="13" t="s">
        <v>643</v>
      </c>
      <c r="D112" s="8" t="str">
        <f t="shared" si="1"/>
        <v>jose.gomez79@mail.com</v>
      </c>
      <c r="G112" s="8" t="str">
        <f t="shared" si="2"/>
        <v>Unique</v>
      </c>
      <c r="I112" s="8" t="str">
        <f>IFERROR(__xludf.DUMMYFUNCTION("IF(C112="""",""Missing"",IF(REGEXMATCH(C112,""^[^@\s]+@[^@\s]+\.[^@\s]+$""),""Valid"",""Invalid""))"),"Valid")</f>
        <v>Valid</v>
      </c>
      <c r="J112" s="12" t="s">
        <v>644</v>
      </c>
      <c r="K112" s="12" t="s">
        <v>645</v>
      </c>
      <c r="L112" s="12" t="s">
        <v>151</v>
      </c>
      <c r="M112" s="8" t="str">
        <f t="shared" si="3"/>
        <v>El Salvador</v>
      </c>
      <c r="N112" s="12" t="s">
        <v>27</v>
      </c>
      <c r="O112" s="12" t="s">
        <v>217</v>
      </c>
      <c r="P112" s="12" t="s">
        <v>77</v>
      </c>
      <c r="Q112" s="8" t="str">
        <f t="shared" si="4"/>
        <v>Proposal Sent</v>
      </c>
      <c r="R112" s="16">
        <v>750.0</v>
      </c>
      <c r="S112" s="17">
        <v>46082.0</v>
      </c>
      <c r="T112" s="17">
        <v>46092.0</v>
      </c>
      <c r="U112" s="8" t="s">
        <v>95</v>
      </c>
    </row>
    <row r="113" ht="15.75" customHeight="1">
      <c r="A113" s="12" t="s">
        <v>647</v>
      </c>
      <c r="B113" s="12" t="s">
        <v>648</v>
      </c>
      <c r="C113" s="13" t="s">
        <v>649</v>
      </c>
      <c r="D113" s="8" t="str">
        <f t="shared" si="1"/>
        <v>alejandro.morales37@company.com</v>
      </c>
      <c r="G113" s="8" t="str">
        <f t="shared" si="2"/>
        <v>Unique</v>
      </c>
      <c r="I113" s="8" t="str">
        <f>IFERROR(__xludf.DUMMYFUNCTION("IF(C113="""",""Missing"",IF(REGEXMATCH(C113,""^[^@\s]+@[^@\s]+\.[^@\s]+$""),""Valid"",""Invalid""))"),"Valid")</f>
        <v>Valid</v>
      </c>
      <c r="J113" s="12" t="s">
        <v>651</v>
      </c>
      <c r="K113" s="12" t="s">
        <v>652</v>
      </c>
      <c r="L113" s="12" t="s">
        <v>26</v>
      </c>
      <c r="M113" s="8" t="str">
        <f t="shared" si="3"/>
        <v>Chile</v>
      </c>
      <c r="N113" s="12" t="s">
        <v>39</v>
      </c>
      <c r="O113" s="12" t="s">
        <v>49</v>
      </c>
      <c r="P113" s="12" t="s">
        <v>29</v>
      </c>
      <c r="Q113" s="8" t="str">
        <f t="shared" si="4"/>
        <v>Contacted</v>
      </c>
      <c r="R113" s="16">
        <v>900.0</v>
      </c>
      <c r="S113" s="17">
        <v>46143.0</v>
      </c>
      <c r="T113" s="17">
        <v>46160.0</v>
      </c>
      <c r="U113" s="8" t="s">
        <v>95</v>
      </c>
    </row>
    <row r="114" ht="15.75" customHeight="1">
      <c r="A114" s="12" t="s">
        <v>654</v>
      </c>
      <c r="B114" s="12" t="s">
        <v>655</v>
      </c>
      <c r="C114" s="13" t="s">
        <v>656</v>
      </c>
      <c r="D114" s="8" t="str">
        <f t="shared" si="1"/>
        <v>david.flores57@outlook.com</v>
      </c>
      <c r="G114" s="8" t="str">
        <f t="shared" si="2"/>
        <v>Unique</v>
      </c>
      <c r="I114" s="8" t="str">
        <f>IFERROR(__xludf.DUMMYFUNCTION("IF(C114="""",""Missing"",IF(REGEXMATCH(C114,""^[^@\s]+@[^@\s]+\.[^@\s]+$""),""Valid"",""Invalid""))"),"Valid")</f>
        <v>Valid</v>
      </c>
      <c r="J114" s="12" t="s">
        <v>657</v>
      </c>
      <c r="K114" s="12" t="s">
        <v>414</v>
      </c>
      <c r="L114" s="12" t="s">
        <v>489</v>
      </c>
      <c r="M114" s="8" t="str">
        <f t="shared" si="3"/>
        <v>Usa</v>
      </c>
      <c r="N114" s="12" t="s">
        <v>106</v>
      </c>
      <c r="O114" s="12" t="s">
        <v>49</v>
      </c>
      <c r="P114" s="12" t="s">
        <v>134</v>
      </c>
      <c r="Q114" s="8" t="str">
        <f t="shared" si="4"/>
        <v>Qualified</v>
      </c>
      <c r="R114" s="16">
        <v>4500.0</v>
      </c>
      <c r="S114" s="17">
        <v>46042.0</v>
      </c>
      <c r="T114" s="17">
        <v>46042.0</v>
      </c>
      <c r="U114" s="8" t="s">
        <v>66</v>
      </c>
    </row>
    <row r="115" ht="15.75" customHeight="1">
      <c r="A115" s="12" t="s">
        <v>659</v>
      </c>
      <c r="B115" s="12" t="s">
        <v>660</v>
      </c>
      <c r="C115" s="52" t="s">
        <v>661</v>
      </c>
      <c r="D115" s="8" t="str">
        <f t="shared" si="1"/>
        <v>ana.ortiz72@gmail</v>
      </c>
      <c r="E115" s="53" t="s">
        <v>662</v>
      </c>
      <c r="F115" s="53"/>
      <c r="G115" s="8" t="str">
        <f t="shared" si="2"/>
        <v>Unique</v>
      </c>
      <c r="I115" s="8" t="str">
        <f>IFERROR(__xludf.DUMMYFUNCTION("IF(C115="""",""Missing"",IF(REGEXMATCH(C115,""^[^@\s]+@[^@\s]+\.[^@\s]+$""),""Valid"",""Invalid""))"),"Invalid")</f>
        <v>Invalid</v>
      </c>
      <c r="J115" s="12" t="s">
        <v>663</v>
      </c>
      <c r="K115" s="12" t="s">
        <v>332</v>
      </c>
      <c r="L115" s="12" t="s">
        <v>664</v>
      </c>
      <c r="M115" s="8" t="str">
        <f t="shared" si="3"/>
        <v>Spain</v>
      </c>
      <c r="N115" s="12" t="s">
        <v>106</v>
      </c>
      <c r="O115" s="12" t="s">
        <v>40</v>
      </c>
      <c r="P115" s="12" t="s">
        <v>50</v>
      </c>
      <c r="Q115" s="8" t="str">
        <f t="shared" si="4"/>
        <v>New</v>
      </c>
      <c r="R115" s="16">
        <v>750.0</v>
      </c>
      <c r="S115" s="17">
        <v>46264.0</v>
      </c>
      <c r="T115" s="17"/>
      <c r="U115" s="8" t="s">
        <v>95</v>
      </c>
    </row>
    <row r="116" ht="15.75" customHeight="1">
      <c r="A116" s="12" t="s">
        <v>666</v>
      </c>
      <c r="B116" s="12" t="s">
        <v>667</v>
      </c>
      <c r="C116" s="13" t="s">
        <v>668</v>
      </c>
      <c r="D116" s="8" t="str">
        <f t="shared" si="1"/>
        <v>paula.lopez23@gmail.com</v>
      </c>
      <c r="G116" s="8" t="str">
        <f t="shared" si="2"/>
        <v>Unique</v>
      </c>
      <c r="I116" s="8" t="str">
        <f>IFERROR(__xludf.DUMMYFUNCTION("IF(C116="""",""Missing"",IF(REGEXMATCH(C116,""^[^@\s]+@[^@\s]+\.[^@\s]+$""),""Valid"",""Invalid""))"),"Valid")</f>
        <v>Valid</v>
      </c>
      <c r="J116" s="12" t="s">
        <v>670</v>
      </c>
      <c r="K116" s="12" t="s">
        <v>671</v>
      </c>
      <c r="L116" s="12" t="s">
        <v>489</v>
      </c>
      <c r="M116" s="8" t="str">
        <f t="shared" si="3"/>
        <v>Usa</v>
      </c>
      <c r="N116" s="12" t="s">
        <v>48</v>
      </c>
      <c r="O116" s="12" t="s">
        <v>28</v>
      </c>
      <c r="P116" s="12" t="s">
        <v>77</v>
      </c>
      <c r="Q116" s="8" t="str">
        <f t="shared" si="4"/>
        <v>Proposal Sent</v>
      </c>
      <c r="R116" s="16">
        <v>2500.0</v>
      </c>
      <c r="S116" s="17">
        <v>46119.0</v>
      </c>
      <c r="T116" s="17">
        <v>46133.0</v>
      </c>
      <c r="U116" s="8" t="s">
        <v>41</v>
      </c>
    </row>
    <row r="117" ht="15.75" customHeight="1">
      <c r="A117" s="12" t="s">
        <v>672</v>
      </c>
      <c r="B117" s="12" t="s">
        <v>673</v>
      </c>
      <c r="C117" s="13" t="s">
        <v>674</v>
      </c>
      <c r="D117" s="8" t="str">
        <f t="shared" si="1"/>
        <v>carolina.rivera48@mail.com</v>
      </c>
      <c r="G117" s="8" t="str">
        <f t="shared" si="2"/>
        <v>Unique</v>
      </c>
      <c r="I117" s="8" t="str">
        <f>IFERROR(__xludf.DUMMYFUNCTION("IF(C117="""",""Missing"",IF(REGEXMATCH(C117,""^[^@\s]+@[^@\s]+\.[^@\s]+$""),""Valid"",""Invalid""))"),"Valid")</f>
        <v>Valid</v>
      </c>
      <c r="J117" s="12" t="s">
        <v>677</v>
      </c>
      <c r="K117" s="12" t="s">
        <v>414</v>
      </c>
      <c r="L117" s="12" t="s">
        <v>538</v>
      </c>
      <c r="M117" s="8" t="str">
        <f t="shared" si="3"/>
        <v>Spain</v>
      </c>
      <c r="N117" s="12" t="s">
        <v>57</v>
      </c>
      <c r="O117" s="12" t="s">
        <v>49</v>
      </c>
      <c r="P117" s="12" t="s">
        <v>77</v>
      </c>
      <c r="Q117" s="8" t="str">
        <f t="shared" si="4"/>
        <v>Proposal Sent</v>
      </c>
      <c r="R117" s="16">
        <v>500.0</v>
      </c>
      <c r="S117" s="17">
        <v>46126.0</v>
      </c>
      <c r="T117" s="17">
        <v>46164.0</v>
      </c>
      <c r="U117" s="8" t="s">
        <v>95</v>
      </c>
    </row>
    <row r="118" ht="15.75" customHeight="1">
      <c r="A118" s="12" t="s">
        <v>679</v>
      </c>
      <c r="B118" s="12" t="s">
        <v>680</v>
      </c>
      <c r="C118" s="13" t="s">
        <v>681</v>
      </c>
      <c r="D118" s="8" t="str">
        <f t="shared" si="1"/>
        <v>andres.gonzalez89@gmail.com</v>
      </c>
      <c r="G118" s="8" t="str">
        <f t="shared" si="2"/>
        <v>Unique</v>
      </c>
      <c r="I118" s="8" t="str">
        <f>IFERROR(__xludf.DUMMYFUNCTION("IF(C118="""",""Missing"",IF(REGEXMATCH(C118,""^[^@\s]+@[^@\s]+\.[^@\s]+$""),""Valid"",""Invalid""))"),"Valid")</f>
        <v>Valid</v>
      </c>
      <c r="J118" s="12" t="s">
        <v>682</v>
      </c>
      <c r="K118" s="12" t="s">
        <v>683</v>
      </c>
      <c r="L118" s="12" t="s">
        <v>26</v>
      </c>
      <c r="M118" s="8" t="str">
        <f t="shared" si="3"/>
        <v>Chile</v>
      </c>
      <c r="N118" s="12" t="s">
        <v>27</v>
      </c>
      <c r="O118" s="12" t="s">
        <v>217</v>
      </c>
      <c r="P118" s="12" t="s">
        <v>134</v>
      </c>
      <c r="Q118" s="8" t="str">
        <f t="shared" si="4"/>
        <v>Qualified</v>
      </c>
      <c r="R118" s="16">
        <v>900.0</v>
      </c>
      <c r="S118" s="17">
        <v>46194.0</v>
      </c>
      <c r="T118" s="17">
        <v>46238.0</v>
      </c>
      <c r="U118" s="8" t="s">
        <v>107</v>
      </c>
    </row>
    <row r="119" ht="15.75" customHeight="1">
      <c r="A119" s="12" t="s">
        <v>684</v>
      </c>
      <c r="B119" s="12" t="s">
        <v>685</v>
      </c>
      <c r="C119" s="13" t="s">
        <v>686</v>
      </c>
      <c r="D119" s="8" t="str">
        <f t="shared" si="1"/>
        <v>manuel.vargas39@mail.com</v>
      </c>
      <c r="G119" s="8" t="str">
        <f t="shared" si="2"/>
        <v>Unique</v>
      </c>
      <c r="I119" s="8" t="str">
        <f>IFERROR(__xludf.DUMMYFUNCTION("IF(C119="""",""Missing"",IF(REGEXMATCH(C119,""^[^@\s]+@[^@\s]+\.[^@\s]+$""),""Valid"",""Invalid""))"),"Valid")</f>
        <v>Valid</v>
      </c>
      <c r="J119" s="12" t="s">
        <v>687</v>
      </c>
      <c r="K119" s="12" t="s">
        <v>55</v>
      </c>
      <c r="L119" s="12" t="s">
        <v>38</v>
      </c>
      <c r="M119" s="8" t="str">
        <f t="shared" si="3"/>
        <v>Chile</v>
      </c>
      <c r="N119" s="12" t="s">
        <v>48</v>
      </c>
      <c r="O119" s="12" t="s">
        <v>40</v>
      </c>
      <c r="P119" s="12" t="s">
        <v>58</v>
      </c>
      <c r="Q119" s="8" t="str">
        <f t="shared" si="4"/>
        <v>Lost</v>
      </c>
      <c r="R119" s="16">
        <v>1500.0</v>
      </c>
      <c r="S119" s="17">
        <v>46205.0</v>
      </c>
      <c r="T119" s="17">
        <v>46235.0</v>
      </c>
    </row>
    <row r="120" ht="15.75" customHeight="1">
      <c r="A120" s="12" t="s">
        <v>688</v>
      </c>
      <c r="B120" s="12" t="s">
        <v>689</v>
      </c>
      <c r="C120" s="13" t="s">
        <v>690</v>
      </c>
      <c r="D120" s="8" t="str">
        <f t="shared" si="1"/>
        <v>raul.vargas51@gmail.com</v>
      </c>
      <c r="G120" s="8" t="str">
        <f t="shared" si="2"/>
        <v>Unique</v>
      </c>
      <c r="I120" s="8" t="str">
        <f>IFERROR(__xludf.DUMMYFUNCTION("IF(C120="""",""Missing"",IF(REGEXMATCH(C120,""^[^@\s]+@[^@\s]+\.[^@\s]+$""),""Valid"",""Invalid""))"),"Valid")</f>
        <v>Valid</v>
      </c>
      <c r="J120" s="12" t="s">
        <v>691</v>
      </c>
      <c r="K120" s="12" t="s">
        <v>692</v>
      </c>
      <c r="L120" s="12" t="s">
        <v>82</v>
      </c>
      <c r="M120" s="8" t="str">
        <f t="shared" si="3"/>
        <v>Spain</v>
      </c>
      <c r="N120" s="12" t="s">
        <v>133</v>
      </c>
      <c r="O120" s="12" t="s">
        <v>49</v>
      </c>
      <c r="P120" s="12" t="s">
        <v>77</v>
      </c>
      <c r="Q120" s="8" t="str">
        <f t="shared" si="4"/>
        <v>Proposal Sent</v>
      </c>
      <c r="R120" s="16">
        <v>350.0</v>
      </c>
      <c r="S120" s="17">
        <v>46240.0</v>
      </c>
      <c r="T120" s="17">
        <v>46276.0</v>
      </c>
      <c r="U120" s="8" t="s">
        <v>107</v>
      </c>
    </row>
    <row r="121" ht="15.75" customHeight="1">
      <c r="A121" s="12" t="s">
        <v>693</v>
      </c>
      <c r="B121" s="12" t="s">
        <v>694</v>
      </c>
      <c r="C121" s="13" t="s">
        <v>695</v>
      </c>
      <c r="D121" s="8" t="str">
        <f t="shared" si="1"/>
        <v>luis.hernandez26@mail.com</v>
      </c>
      <c r="G121" s="8" t="str">
        <f t="shared" si="2"/>
        <v>Unique</v>
      </c>
      <c r="I121" s="8" t="str">
        <f>IFERROR(__xludf.DUMMYFUNCTION("IF(C121="""",""Missing"",IF(REGEXMATCH(C121,""^[^@\s]+@[^@\s]+\.[^@\s]+$""),""Valid"",""Invalid""))"),"Valid")</f>
        <v>Valid</v>
      </c>
      <c r="J121" s="12" t="s">
        <v>696</v>
      </c>
      <c r="K121" s="12"/>
      <c r="L121" s="12" t="s">
        <v>140</v>
      </c>
      <c r="M121" s="8" t="str">
        <f t="shared" si="3"/>
        <v>Perú</v>
      </c>
      <c r="N121" s="12" t="s">
        <v>57</v>
      </c>
      <c r="O121" s="12" t="s">
        <v>40</v>
      </c>
      <c r="P121" s="12" t="s">
        <v>77</v>
      </c>
      <c r="Q121" s="8" t="str">
        <f t="shared" si="4"/>
        <v>Proposal Sent</v>
      </c>
      <c r="R121" s="16">
        <v>1500.0</v>
      </c>
      <c r="S121" s="17">
        <v>46065.0</v>
      </c>
      <c r="T121" s="17">
        <v>46080.0</v>
      </c>
      <c r="U121" s="8" t="s">
        <v>41</v>
      </c>
    </row>
    <row r="122" ht="15.75" customHeight="1">
      <c r="A122" s="12" t="s">
        <v>697</v>
      </c>
      <c r="B122" s="12" t="s">
        <v>698</v>
      </c>
      <c r="C122" s="13" t="s">
        <v>699</v>
      </c>
      <c r="D122" s="8" t="str">
        <f t="shared" si="1"/>
        <v>lucia.vargas98@gmail.com</v>
      </c>
      <c r="G122" s="8" t="str">
        <f t="shared" si="2"/>
        <v>Unique</v>
      </c>
      <c r="I122" s="8" t="str">
        <f>IFERROR(__xludf.DUMMYFUNCTION("IF(C122="""",""Missing"",IF(REGEXMATCH(C122,""^[^@\s]+@[^@\s]+\.[^@\s]+$""),""Valid"",""Invalid""))"),"Valid")</f>
        <v>Valid</v>
      </c>
      <c r="J122" s="12" t="s">
        <v>700</v>
      </c>
      <c r="K122" s="12" t="s">
        <v>125</v>
      </c>
      <c r="L122" s="12" t="s">
        <v>75</v>
      </c>
      <c r="M122" s="8" t="str">
        <f t="shared" si="3"/>
        <v>United States</v>
      </c>
      <c r="N122" s="12" t="s">
        <v>48</v>
      </c>
      <c r="O122" s="12" t="s">
        <v>28</v>
      </c>
      <c r="P122" s="12" t="s">
        <v>50</v>
      </c>
      <c r="Q122" s="8" t="str">
        <f t="shared" si="4"/>
        <v>New</v>
      </c>
      <c r="R122" s="16">
        <v>1500.0</v>
      </c>
      <c r="S122" s="17">
        <v>46078.0</v>
      </c>
      <c r="T122" s="17">
        <v>46106.0</v>
      </c>
      <c r="U122" s="8" t="s">
        <v>41</v>
      </c>
    </row>
    <row r="123" ht="15.75" customHeight="1">
      <c r="A123" s="12" t="s">
        <v>701</v>
      </c>
      <c r="B123" s="12" t="s">
        <v>702</v>
      </c>
      <c r="C123" s="13" t="s">
        <v>703</v>
      </c>
      <c r="D123" s="8" t="str">
        <f t="shared" si="1"/>
        <v>lucia.diaz1@company.com</v>
      </c>
      <c r="G123" s="8" t="str">
        <f t="shared" si="2"/>
        <v>Unique</v>
      </c>
      <c r="I123" s="8" t="str">
        <f>IFERROR(__xludf.DUMMYFUNCTION("IF(C123="""",""Missing"",IF(REGEXMATCH(C123,""^[^@\s]+@[^@\s]+\.[^@\s]+$""),""Valid"",""Invalid""))"),"Valid")</f>
        <v>Valid</v>
      </c>
      <c r="J123" s="12" t="s">
        <v>704</v>
      </c>
      <c r="K123" s="12" t="s">
        <v>200</v>
      </c>
      <c r="L123" s="12" t="s">
        <v>201</v>
      </c>
      <c r="M123" s="8" t="str">
        <f t="shared" si="3"/>
        <v>Mexico</v>
      </c>
      <c r="N123" s="12" t="s">
        <v>133</v>
      </c>
      <c r="O123" s="12" t="s">
        <v>217</v>
      </c>
      <c r="P123" s="12" t="s">
        <v>134</v>
      </c>
      <c r="Q123" s="8" t="str">
        <f t="shared" si="4"/>
        <v>Qualified</v>
      </c>
      <c r="R123" s="16">
        <v>1200.0</v>
      </c>
      <c r="S123" s="17">
        <v>46202.0</v>
      </c>
      <c r="T123" s="17">
        <v>46228.0</v>
      </c>
    </row>
    <row r="124" ht="15.75" customHeight="1">
      <c r="A124" s="12" t="s">
        <v>705</v>
      </c>
      <c r="B124" s="12" t="s">
        <v>706</v>
      </c>
      <c r="C124" s="13" t="s">
        <v>707</v>
      </c>
      <c r="D124" s="8" t="str">
        <f t="shared" si="1"/>
        <v>daniel.gomez70@outlook.com</v>
      </c>
      <c r="G124" s="8" t="str">
        <f t="shared" si="2"/>
        <v>Unique</v>
      </c>
      <c r="I124" s="8" t="str">
        <f>IFERROR(__xludf.DUMMYFUNCTION("IF(C124="""",""Missing"",IF(REGEXMATCH(C124,""^[^@\s]+@[^@\s]+\.[^@\s]+$""),""Valid"",""Invalid""))"),"Valid")</f>
        <v>Valid</v>
      </c>
      <c r="J124" s="12" t="s">
        <v>708</v>
      </c>
      <c r="K124" s="12" t="s">
        <v>709</v>
      </c>
      <c r="L124" s="12" t="s">
        <v>132</v>
      </c>
      <c r="M124" s="8" t="str">
        <f t="shared" si="3"/>
        <v>Argentina</v>
      </c>
      <c r="N124" s="12" t="s">
        <v>106</v>
      </c>
      <c r="O124" s="12" t="s">
        <v>28</v>
      </c>
      <c r="P124" s="12" t="s">
        <v>58</v>
      </c>
      <c r="Q124" s="8" t="str">
        <f t="shared" si="4"/>
        <v>Lost</v>
      </c>
      <c r="R124" s="16">
        <v>500.0</v>
      </c>
      <c r="S124" s="17">
        <v>46204.0</v>
      </c>
      <c r="T124" s="17">
        <v>46204.0</v>
      </c>
    </row>
    <row r="125" ht="15.75" customHeight="1">
      <c r="A125" s="12" t="s">
        <v>710</v>
      </c>
      <c r="B125" s="12" t="s">
        <v>711</v>
      </c>
      <c r="C125" s="52"/>
      <c r="D125" s="8" t="str">
        <f t="shared" si="1"/>
        <v/>
      </c>
      <c r="G125" s="8" t="str">
        <f t="shared" si="2"/>
        <v>Missing Email</v>
      </c>
      <c r="I125" s="8" t="str">
        <f>IFERROR(__xludf.DUMMYFUNCTION("IF(C125="""",""Missing"",IF(REGEXMATCH(C125,""^[^@\s]+@[^@\s]+\.[^@\s]+$""),""Valid"",""Invalid""))"),"Missing")</f>
        <v>Missing</v>
      </c>
      <c r="J125" s="12" t="s">
        <v>712</v>
      </c>
      <c r="K125" s="12" t="s">
        <v>713</v>
      </c>
      <c r="L125" s="12" t="s">
        <v>582</v>
      </c>
      <c r="M125" s="8" t="str">
        <f t="shared" si="3"/>
        <v>Spain</v>
      </c>
      <c r="N125" s="12" t="s">
        <v>106</v>
      </c>
      <c r="O125" s="12" t="s">
        <v>76</v>
      </c>
      <c r="P125" s="12" t="s">
        <v>134</v>
      </c>
      <c r="Q125" s="8" t="str">
        <f t="shared" si="4"/>
        <v>Qualified</v>
      </c>
      <c r="R125" s="16">
        <v>900.0</v>
      </c>
      <c r="S125" s="17">
        <v>46187.0</v>
      </c>
      <c r="T125" s="17">
        <v>46216.0</v>
      </c>
      <c r="U125" s="8" t="s">
        <v>107</v>
      </c>
    </row>
    <row r="126" ht="15.75" customHeight="1">
      <c r="A126" s="12" t="s">
        <v>714</v>
      </c>
      <c r="B126" s="12" t="s">
        <v>471</v>
      </c>
      <c r="C126" s="13" t="s">
        <v>715</v>
      </c>
      <c r="D126" s="8" t="str">
        <f t="shared" si="1"/>
        <v>daniel.diaz37@outlook.com</v>
      </c>
      <c r="G126" s="8" t="str">
        <f t="shared" si="2"/>
        <v>Unique</v>
      </c>
      <c r="I126" s="8" t="str">
        <f>IFERROR(__xludf.DUMMYFUNCTION("IF(C126="""",""Missing"",IF(REGEXMATCH(C126,""^[^@\s]+@[^@\s]+\.[^@\s]+$""),""Valid"",""Invalid""))"),"Valid")</f>
        <v>Valid</v>
      </c>
      <c r="J126" s="12" t="s">
        <v>716</v>
      </c>
      <c r="K126" s="12" t="s">
        <v>717</v>
      </c>
      <c r="L126" s="12" t="s">
        <v>216</v>
      </c>
      <c r="M126" s="8" t="str">
        <f t="shared" si="3"/>
        <v>Salvador</v>
      </c>
      <c r="N126" s="12" t="s">
        <v>57</v>
      </c>
      <c r="O126" s="12" t="s">
        <v>217</v>
      </c>
      <c r="P126" s="12" t="s">
        <v>65</v>
      </c>
      <c r="Q126" s="8" t="str">
        <f t="shared" si="4"/>
        <v>Won</v>
      </c>
      <c r="R126" s="16">
        <v>2000.0</v>
      </c>
      <c r="S126" s="17">
        <v>46178.0</v>
      </c>
      <c r="T126" s="17">
        <v>46201.0</v>
      </c>
    </row>
    <row r="127" ht="15.75" customHeight="1">
      <c r="A127" s="12" t="s">
        <v>718</v>
      </c>
      <c r="B127" s="12" t="s">
        <v>559</v>
      </c>
      <c r="C127" s="13" t="s">
        <v>719</v>
      </c>
      <c r="D127" s="8" t="str">
        <f t="shared" si="1"/>
        <v>david.gonzalez67@outlook.com</v>
      </c>
      <c r="G127" s="8" t="str">
        <f t="shared" si="2"/>
        <v>Unique</v>
      </c>
      <c r="I127" s="8" t="str">
        <f>IFERROR(__xludf.DUMMYFUNCTION("IF(C127="""",""Missing"",IF(REGEXMATCH(C127,""^[^@\s]+@[^@\s]+\.[^@\s]+$""),""Valid"",""Invalid""))"),"Valid")</f>
        <v>Valid</v>
      </c>
      <c r="J127" s="12" t="s">
        <v>720</v>
      </c>
      <c r="K127" s="12" t="s">
        <v>161</v>
      </c>
      <c r="L127" s="12" t="s">
        <v>538</v>
      </c>
      <c r="M127" s="8" t="str">
        <f t="shared" si="3"/>
        <v>Spain</v>
      </c>
      <c r="N127" s="12" t="s">
        <v>133</v>
      </c>
      <c r="O127" s="12" t="s">
        <v>76</v>
      </c>
      <c r="P127" s="12" t="s">
        <v>29</v>
      </c>
      <c r="Q127" s="8" t="str">
        <f t="shared" si="4"/>
        <v>Contacted</v>
      </c>
      <c r="R127" s="16">
        <v>2500.0</v>
      </c>
      <c r="S127" s="17">
        <v>46071.0</v>
      </c>
      <c r="T127" s="17">
        <v>46103.0</v>
      </c>
      <c r="U127" s="8" t="s">
        <v>66</v>
      </c>
    </row>
    <row r="128" ht="15.75" customHeight="1">
      <c r="A128" s="12" t="s">
        <v>721</v>
      </c>
      <c r="B128" s="12" t="s">
        <v>722</v>
      </c>
      <c r="C128" s="13" t="s">
        <v>723</v>
      </c>
      <c r="D128" s="8" t="str">
        <f t="shared" si="1"/>
        <v>diego.hernandez61@gmail.com</v>
      </c>
      <c r="G128" s="8" t="str">
        <f t="shared" si="2"/>
        <v>Unique</v>
      </c>
      <c r="I128" s="8" t="str">
        <f>IFERROR(__xludf.DUMMYFUNCTION("IF(C128="""",""Missing"",IF(REGEXMATCH(C128,""^[^@\s]+@[^@\s]+\.[^@\s]+$""),""Valid"",""Invalid""))"),"Valid")</f>
        <v>Valid</v>
      </c>
      <c r="J128" s="12" t="s">
        <v>724</v>
      </c>
      <c r="K128" s="12" t="s">
        <v>293</v>
      </c>
      <c r="L128" s="12" t="s">
        <v>38</v>
      </c>
      <c r="M128" s="8" t="str">
        <f t="shared" si="3"/>
        <v>Chile</v>
      </c>
      <c r="N128" s="12" t="s">
        <v>27</v>
      </c>
      <c r="O128" s="12" t="s">
        <v>76</v>
      </c>
      <c r="P128" s="12" t="s">
        <v>58</v>
      </c>
      <c r="Q128" s="8" t="str">
        <f t="shared" si="4"/>
        <v>Lost</v>
      </c>
      <c r="R128" s="16">
        <v>4500.0</v>
      </c>
      <c r="S128" s="17">
        <v>46137.0</v>
      </c>
      <c r="T128" s="17">
        <v>46154.0</v>
      </c>
      <c r="U128" s="8" t="s">
        <v>41</v>
      </c>
    </row>
    <row r="129" ht="15.75" customHeight="1">
      <c r="A129" s="12" t="s">
        <v>725</v>
      </c>
      <c r="B129" s="12" t="s">
        <v>726</v>
      </c>
      <c r="C129" s="13" t="s">
        <v>727</v>
      </c>
      <c r="D129" s="8" t="str">
        <f t="shared" si="1"/>
        <v>sofia.lopez20@gmail.com</v>
      </c>
      <c r="G129" s="8" t="str">
        <f t="shared" si="2"/>
        <v>Unique</v>
      </c>
      <c r="I129" s="8" t="str">
        <f>IFERROR(__xludf.DUMMYFUNCTION("IF(C129="""",""Missing"",IF(REGEXMATCH(C129,""^[^@\s]+@[^@\s]+\.[^@\s]+$""),""Valid"",""Invalid""))"),"Valid")</f>
        <v>Valid</v>
      </c>
      <c r="J129" s="12" t="s">
        <v>728</v>
      </c>
      <c r="K129" s="12" t="s">
        <v>419</v>
      </c>
      <c r="L129" s="12" t="s">
        <v>56</v>
      </c>
      <c r="M129" s="8" t="str">
        <f t="shared" si="3"/>
        <v>Argentina</v>
      </c>
      <c r="N129" s="12" t="s">
        <v>57</v>
      </c>
      <c r="O129" s="12" t="s">
        <v>40</v>
      </c>
      <c r="P129" s="12" t="s">
        <v>50</v>
      </c>
      <c r="Q129" s="8" t="str">
        <f t="shared" si="4"/>
        <v>New</v>
      </c>
      <c r="R129" s="16">
        <v>350.0</v>
      </c>
      <c r="S129" s="17">
        <v>46230.0</v>
      </c>
      <c r="T129" s="17"/>
      <c r="U129" s="8" t="s">
        <v>107</v>
      </c>
    </row>
    <row r="130" ht="15.75" customHeight="1">
      <c r="A130" s="12" t="s">
        <v>729</v>
      </c>
      <c r="B130" s="12" t="s">
        <v>730</v>
      </c>
      <c r="C130" s="13" t="s">
        <v>731</v>
      </c>
      <c r="D130" s="8" t="str">
        <f t="shared" si="1"/>
        <v>sofia.diaz89@mail.com</v>
      </c>
      <c r="G130" s="8" t="str">
        <f t="shared" si="2"/>
        <v>Unique</v>
      </c>
      <c r="I130" s="8" t="str">
        <f>IFERROR(__xludf.DUMMYFUNCTION("IF(C130="""",""Missing"",IF(REGEXMATCH(C130,""^[^@\s]+@[^@\s]+\.[^@\s]+$""),""Valid"",""Invalid""))"),"Valid")</f>
        <v>Valid</v>
      </c>
      <c r="J130" s="12" t="s">
        <v>732</v>
      </c>
      <c r="K130" s="12" t="s">
        <v>332</v>
      </c>
      <c r="L130" s="12" t="s">
        <v>283</v>
      </c>
      <c r="M130" s="8" t="str">
        <f t="shared" si="3"/>
        <v>Colombia</v>
      </c>
      <c r="N130" s="12" t="s">
        <v>57</v>
      </c>
      <c r="O130" s="12" t="s">
        <v>49</v>
      </c>
      <c r="P130" s="12" t="s">
        <v>134</v>
      </c>
      <c r="Q130" s="8" t="str">
        <f t="shared" si="4"/>
        <v>Qualified</v>
      </c>
      <c r="R130" s="16">
        <v>750.0</v>
      </c>
      <c r="S130" s="17">
        <v>46139.0</v>
      </c>
      <c r="T130" s="17">
        <v>46161.0</v>
      </c>
      <c r="U130" s="8" t="s">
        <v>30</v>
      </c>
    </row>
    <row r="131" ht="15.75" customHeight="1">
      <c r="A131" s="12" t="s">
        <v>733</v>
      </c>
      <c r="B131" s="12" t="s">
        <v>279</v>
      </c>
      <c r="C131" s="13" t="s">
        <v>734</v>
      </c>
      <c r="D131" s="8" t="str">
        <f t="shared" si="1"/>
        <v>maria.ortiz31@gmail.com</v>
      </c>
      <c r="G131" s="8" t="str">
        <f t="shared" si="2"/>
        <v>Unique</v>
      </c>
      <c r="I131" s="8" t="str">
        <f>IFERROR(__xludf.DUMMYFUNCTION("IF(C131="""",""Missing"",IF(REGEXMATCH(C131,""^[^@\s]+@[^@\s]+\.[^@\s]+$""),""Valid"",""Invalid""))"),"Valid")</f>
        <v>Valid</v>
      </c>
      <c r="J131" s="12" t="s">
        <v>735</v>
      </c>
      <c r="K131" s="12" t="s">
        <v>100</v>
      </c>
      <c r="L131" s="12" t="s">
        <v>38</v>
      </c>
      <c r="M131" s="8" t="str">
        <f t="shared" si="3"/>
        <v>Chile</v>
      </c>
      <c r="N131" s="12" t="s">
        <v>39</v>
      </c>
      <c r="O131" s="12" t="s">
        <v>76</v>
      </c>
      <c r="P131" s="12" t="s">
        <v>29</v>
      </c>
      <c r="Q131" s="8" t="str">
        <f t="shared" si="4"/>
        <v>Contacted</v>
      </c>
      <c r="R131" s="16">
        <v>750.0</v>
      </c>
      <c r="S131" s="17">
        <v>46058.0</v>
      </c>
      <c r="T131" s="17">
        <v>46091.0</v>
      </c>
    </row>
    <row r="132" ht="15.75" customHeight="1">
      <c r="A132" s="12" t="s">
        <v>736</v>
      </c>
      <c r="B132" s="12" t="s">
        <v>737</v>
      </c>
      <c r="C132" s="13" t="s">
        <v>738</v>
      </c>
      <c r="D132" s="8" t="str">
        <f t="shared" si="1"/>
        <v>paula.flores21@mail.com</v>
      </c>
      <c r="G132" s="8" t="str">
        <f t="shared" si="2"/>
        <v>Unique</v>
      </c>
      <c r="I132" s="8" t="str">
        <f>IFERROR(__xludf.DUMMYFUNCTION("IF(C132="""",""Missing"",IF(REGEXMATCH(C132,""^[^@\s]+@[^@\s]+\.[^@\s]+$""),""Valid"",""Invalid""))"),"Valid")</f>
        <v>Valid</v>
      </c>
      <c r="J132" s="12" t="s">
        <v>739</v>
      </c>
      <c r="K132" s="12" t="s">
        <v>740</v>
      </c>
      <c r="L132" s="12" t="s">
        <v>546</v>
      </c>
      <c r="M132" s="8" t="str">
        <f t="shared" si="3"/>
        <v>Mexico</v>
      </c>
      <c r="N132" s="12" t="s">
        <v>106</v>
      </c>
      <c r="O132" s="12" t="s">
        <v>40</v>
      </c>
      <c r="P132" s="12" t="s">
        <v>58</v>
      </c>
      <c r="Q132" s="8" t="str">
        <f t="shared" si="4"/>
        <v>Lost</v>
      </c>
      <c r="R132" s="16">
        <v>1200.0</v>
      </c>
      <c r="S132" s="17">
        <v>46218.0</v>
      </c>
      <c r="T132" s="17">
        <v>46221.0</v>
      </c>
      <c r="U132" s="8" t="s">
        <v>95</v>
      </c>
    </row>
    <row r="133" ht="15.75" customHeight="1">
      <c r="A133" s="12" t="s">
        <v>741</v>
      </c>
      <c r="B133" s="12" t="s">
        <v>742</v>
      </c>
      <c r="C133" s="13" t="s">
        <v>743</v>
      </c>
      <c r="D133" s="8" t="str">
        <f t="shared" si="1"/>
        <v>manuel.rivera5@company.com</v>
      </c>
      <c r="G133" s="8" t="str">
        <f t="shared" si="2"/>
        <v>Unique</v>
      </c>
      <c r="I133" s="8" t="str">
        <f>IFERROR(__xludf.DUMMYFUNCTION("IF(C133="""",""Missing"",IF(REGEXMATCH(C133,""^[^@\s]+@[^@\s]+\.[^@\s]+$""),""Valid"",""Invalid""))"),"Valid")</f>
        <v>Valid</v>
      </c>
      <c r="J133" s="12" t="s">
        <v>744</v>
      </c>
      <c r="K133" s="12" t="s">
        <v>745</v>
      </c>
      <c r="L133" s="12" t="s">
        <v>26</v>
      </c>
      <c r="M133" s="8" t="str">
        <f t="shared" si="3"/>
        <v>Chile</v>
      </c>
      <c r="N133" s="12" t="s">
        <v>106</v>
      </c>
      <c r="O133" s="12" t="s">
        <v>49</v>
      </c>
      <c r="P133" s="12" t="s">
        <v>65</v>
      </c>
      <c r="Q133" s="8" t="str">
        <f t="shared" si="4"/>
        <v>Won</v>
      </c>
      <c r="R133" s="16">
        <v>3000.0</v>
      </c>
      <c r="S133" s="17">
        <v>46152.0</v>
      </c>
      <c r="T133" s="17">
        <v>46195.0</v>
      </c>
      <c r="U133" s="8" t="s">
        <v>66</v>
      </c>
    </row>
    <row r="134" ht="15.75" customHeight="1">
      <c r="A134" s="12" t="s">
        <v>746</v>
      </c>
      <c r="B134" s="12" t="s">
        <v>747</v>
      </c>
      <c r="C134" s="13" t="s">
        <v>748</v>
      </c>
      <c r="D134" s="8" t="str">
        <f t="shared" si="1"/>
        <v>david.sanchez3@company.com</v>
      </c>
      <c r="G134" s="8" t="str">
        <f t="shared" si="2"/>
        <v>Unique</v>
      </c>
      <c r="I134" s="8" t="str">
        <f>IFERROR(__xludf.DUMMYFUNCTION("IF(C134="""",""Missing"",IF(REGEXMATCH(C134,""^[^@\s]+@[^@\s]+\.[^@\s]+$""),""Valid"",""Invalid""))"),"Valid")</f>
        <v>Valid</v>
      </c>
      <c r="J134" s="12" t="s">
        <v>750</v>
      </c>
      <c r="K134" s="12" t="s">
        <v>751</v>
      </c>
      <c r="L134" s="12" t="s">
        <v>126</v>
      </c>
      <c r="M134" s="8" t="str">
        <f t="shared" si="3"/>
        <v>Peru</v>
      </c>
      <c r="N134" s="12" t="s">
        <v>27</v>
      </c>
      <c r="O134" s="12" t="s">
        <v>49</v>
      </c>
      <c r="P134" s="12" t="s">
        <v>65</v>
      </c>
      <c r="Q134" s="8" t="str">
        <f t="shared" si="4"/>
        <v>Won</v>
      </c>
      <c r="R134" s="16">
        <v>2000.0</v>
      </c>
      <c r="S134" s="17">
        <v>46144.0</v>
      </c>
      <c r="T134" s="17">
        <v>46155.0</v>
      </c>
      <c r="U134" s="8" t="s">
        <v>95</v>
      </c>
    </row>
    <row r="135" ht="15.75" customHeight="1">
      <c r="A135" s="12" t="s">
        <v>752</v>
      </c>
      <c r="B135" s="12" t="s">
        <v>753</v>
      </c>
      <c r="C135" s="13" t="s">
        <v>754</v>
      </c>
      <c r="D135" s="8" t="str">
        <f t="shared" si="1"/>
        <v>jose.martinez32@outlook.com</v>
      </c>
      <c r="G135" s="8" t="str">
        <f t="shared" si="2"/>
        <v>Unique</v>
      </c>
      <c r="I135" s="8" t="str">
        <f>IFERROR(__xludf.DUMMYFUNCTION("IF(C135="""",""Missing"",IF(REGEXMATCH(C135,""^[^@\s]+@[^@\s]+\.[^@\s]+$""),""Valid"",""Invalid""))"),"Valid")</f>
        <v>Valid</v>
      </c>
      <c r="J135" s="12" t="s">
        <v>755</v>
      </c>
      <c r="K135" s="12" t="s">
        <v>483</v>
      </c>
      <c r="L135" s="12" t="s">
        <v>211</v>
      </c>
      <c r="M135" s="8" t="str">
        <f t="shared" si="3"/>
        <v>Mexico</v>
      </c>
      <c r="N135" s="12" t="s">
        <v>57</v>
      </c>
      <c r="O135" s="12" t="s">
        <v>217</v>
      </c>
      <c r="P135" s="12" t="s">
        <v>134</v>
      </c>
      <c r="Q135" s="8" t="str">
        <f t="shared" si="4"/>
        <v>Qualified</v>
      </c>
      <c r="R135" s="16">
        <v>1500.0</v>
      </c>
      <c r="S135" s="17">
        <v>46102.0</v>
      </c>
      <c r="T135" s="17">
        <v>46117.0</v>
      </c>
      <c r="U135" s="8" t="s">
        <v>30</v>
      </c>
    </row>
    <row r="136" ht="15.75" customHeight="1">
      <c r="A136" s="12" t="s">
        <v>756</v>
      </c>
      <c r="B136" s="12" t="s">
        <v>234</v>
      </c>
      <c r="C136" s="13" t="s">
        <v>757</v>
      </c>
      <c r="D136" s="8" t="str">
        <f t="shared" si="1"/>
        <v>patricia.diaz3@mail.com</v>
      </c>
      <c r="G136" s="8" t="str">
        <f t="shared" si="2"/>
        <v>Unique</v>
      </c>
      <c r="I136" s="8" t="str">
        <f>IFERROR(__xludf.DUMMYFUNCTION("IF(C136="""",""Missing"",IF(REGEXMATCH(C136,""^[^@\s]+@[^@\s]+\.[^@\s]+$""),""Valid"",""Invalid""))"),"Valid")</f>
        <v>Valid</v>
      </c>
      <c r="J136" s="12" t="s">
        <v>759</v>
      </c>
      <c r="K136" s="12" t="s">
        <v>760</v>
      </c>
      <c r="L136" s="12" t="s">
        <v>174</v>
      </c>
      <c r="M136" s="8" t="str">
        <f t="shared" si="3"/>
        <v>Colombia</v>
      </c>
      <c r="N136" s="12" t="s">
        <v>106</v>
      </c>
      <c r="O136" s="12" t="s">
        <v>40</v>
      </c>
      <c r="P136" s="12" t="s">
        <v>29</v>
      </c>
      <c r="Q136" s="8" t="str">
        <f t="shared" si="4"/>
        <v>Contacted</v>
      </c>
      <c r="R136" s="16"/>
      <c r="S136" s="17">
        <v>46156.0</v>
      </c>
      <c r="T136" s="17">
        <v>46174.0</v>
      </c>
      <c r="U136" s="8" t="s">
        <v>95</v>
      </c>
    </row>
    <row r="137" ht="15.75" customHeight="1">
      <c r="A137" s="12" t="s">
        <v>764</v>
      </c>
      <c r="B137" s="12" t="s">
        <v>300</v>
      </c>
      <c r="C137" s="13" t="s">
        <v>765</v>
      </c>
      <c r="D137" s="8" t="str">
        <f t="shared" si="1"/>
        <v>luis.flores57@company.com</v>
      </c>
      <c r="G137" s="8" t="str">
        <f t="shared" si="2"/>
        <v>Unique</v>
      </c>
      <c r="I137" s="8" t="str">
        <f>IFERROR(__xludf.DUMMYFUNCTION("IF(C137="""",""Missing"",IF(REGEXMATCH(C137,""^[^@\s]+@[^@\s]+\.[^@\s]+$""),""Valid"",""Invalid""))"),"Valid")</f>
        <v>Valid</v>
      </c>
      <c r="J137" s="12" t="s">
        <v>768</v>
      </c>
      <c r="K137" s="12" t="s">
        <v>769</v>
      </c>
      <c r="L137" s="12" t="s">
        <v>174</v>
      </c>
      <c r="M137" s="8" t="str">
        <f t="shared" si="3"/>
        <v>Colombia</v>
      </c>
      <c r="N137" s="12" t="s">
        <v>133</v>
      </c>
      <c r="O137" s="12" t="s">
        <v>49</v>
      </c>
      <c r="P137" s="12" t="s">
        <v>77</v>
      </c>
      <c r="Q137" s="8" t="str">
        <f t="shared" si="4"/>
        <v>Proposal Sent</v>
      </c>
      <c r="R137" s="16">
        <v>350.0</v>
      </c>
      <c r="S137" s="17">
        <v>46156.0</v>
      </c>
      <c r="T137" s="17">
        <v>46159.0</v>
      </c>
      <c r="U137" s="8" t="s">
        <v>30</v>
      </c>
    </row>
    <row r="138" ht="15.75" customHeight="1">
      <c r="A138" s="12" t="s">
        <v>772</v>
      </c>
      <c r="B138" s="12" t="s">
        <v>773</v>
      </c>
      <c r="C138" s="13" t="s">
        <v>774</v>
      </c>
      <c r="D138" s="8" t="str">
        <f t="shared" si="1"/>
        <v>raul.sanchez96@outlook.com</v>
      </c>
      <c r="G138" s="8" t="str">
        <f t="shared" si="2"/>
        <v>Unique</v>
      </c>
      <c r="I138" s="8" t="str">
        <f>IFERROR(__xludf.DUMMYFUNCTION("IF(C138="""",""Missing"",IF(REGEXMATCH(C138,""^[^@\s]+@[^@\s]+\.[^@\s]+$""),""Valid"",""Invalid""))"),"Valid")</f>
        <v>Valid</v>
      </c>
      <c r="J138" s="12" t="s">
        <v>778</v>
      </c>
      <c r="K138" s="12" t="s">
        <v>779</v>
      </c>
      <c r="L138" s="12" t="s">
        <v>82</v>
      </c>
      <c r="M138" s="8" t="str">
        <f t="shared" si="3"/>
        <v>Spain</v>
      </c>
      <c r="N138" s="12" t="s">
        <v>48</v>
      </c>
      <c r="O138" s="12" t="s">
        <v>49</v>
      </c>
      <c r="P138" s="12" t="s">
        <v>134</v>
      </c>
      <c r="Q138" s="8" t="str">
        <f t="shared" si="4"/>
        <v>Qualified</v>
      </c>
      <c r="R138" s="16">
        <v>4500.0</v>
      </c>
      <c r="S138" s="17">
        <v>46155.0</v>
      </c>
      <c r="T138" s="17">
        <v>46197.0</v>
      </c>
      <c r="U138" s="8" t="s">
        <v>66</v>
      </c>
    </row>
    <row r="139" ht="15.75" customHeight="1">
      <c r="A139" s="12" t="s">
        <v>780</v>
      </c>
      <c r="B139" s="12" t="s">
        <v>781</v>
      </c>
      <c r="C139" s="13" t="s">
        <v>782</v>
      </c>
      <c r="D139" s="8" t="str">
        <f t="shared" si="1"/>
        <v>paula.castro12@company.com</v>
      </c>
      <c r="G139" s="8" t="str">
        <f t="shared" si="2"/>
        <v>Unique</v>
      </c>
      <c r="I139" s="8" t="str">
        <f>IFERROR(__xludf.DUMMYFUNCTION("IF(C139="""",""Missing"",IF(REGEXMATCH(C139,""^[^@\s]+@[^@\s]+\.[^@\s]+$""),""Valid"",""Invalid""))"),"Valid")</f>
        <v>Valid</v>
      </c>
      <c r="J139" s="12" t="s">
        <v>783</v>
      </c>
      <c r="K139" s="12" t="s">
        <v>184</v>
      </c>
      <c r="L139" s="12" t="s">
        <v>489</v>
      </c>
      <c r="M139" s="8" t="str">
        <f t="shared" si="3"/>
        <v>Usa</v>
      </c>
      <c r="N139" s="12" t="s">
        <v>57</v>
      </c>
      <c r="O139" s="12" t="s">
        <v>76</v>
      </c>
      <c r="P139" s="12" t="s">
        <v>77</v>
      </c>
      <c r="Q139" s="8" t="str">
        <f t="shared" si="4"/>
        <v>Proposal Sent</v>
      </c>
      <c r="R139" s="16">
        <v>500.0</v>
      </c>
      <c r="S139" s="17">
        <v>46249.0</v>
      </c>
      <c r="T139" s="17">
        <v>46259.0</v>
      </c>
    </row>
    <row r="140" ht="15.75" customHeight="1">
      <c r="A140" s="12" t="s">
        <v>784</v>
      </c>
      <c r="B140" s="12" t="s">
        <v>785</v>
      </c>
      <c r="C140" s="52"/>
      <c r="D140" s="8" t="str">
        <f t="shared" si="1"/>
        <v/>
      </c>
      <c r="G140" s="8" t="str">
        <f t="shared" si="2"/>
        <v>Missing Email</v>
      </c>
      <c r="I140" s="8" t="str">
        <f>IFERROR(__xludf.DUMMYFUNCTION("IF(C140="""",""Missing"",IF(REGEXMATCH(C140,""^[^@\s]+@[^@\s]+\.[^@\s]+$""),""Valid"",""Invalid""))"),"Missing")</f>
        <v>Missing</v>
      </c>
      <c r="J140" s="12" t="s">
        <v>786</v>
      </c>
      <c r="K140" s="12" t="s">
        <v>562</v>
      </c>
      <c r="L140" s="12" t="s">
        <v>205</v>
      </c>
      <c r="M140" s="8" t="str">
        <f t="shared" si="3"/>
        <v>Chile</v>
      </c>
      <c r="N140" s="12" t="s">
        <v>106</v>
      </c>
      <c r="O140" s="12" t="s">
        <v>40</v>
      </c>
      <c r="P140" s="12" t="s">
        <v>50</v>
      </c>
      <c r="Q140" s="8" t="str">
        <f t="shared" si="4"/>
        <v>New</v>
      </c>
      <c r="R140" s="16">
        <v>1200.0</v>
      </c>
      <c r="S140" s="17">
        <v>46226.0</v>
      </c>
      <c r="T140" s="17">
        <v>46259.0</v>
      </c>
      <c r="U140" s="8" t="s">
        <v>107</v>
      </c>
    </row>
    <row r="141" ht="15.75" customHeight="1">
      <c r="A141" s="12" t="s">
        <v>787</v>
      </c>
      <c r="B141" s="12" t="s">
        <v>219</v>
      </c>
      <c r="C141" s="13" t="s">
        <v>788</v>
      </c>
      <c r="D141" s="8" t="str">
        <f t="shared" si="1"/>
        <v>andres.sanchez5@gmail.com</v>
      </c>
      <c r="G141" s="8" t="str">
        <f t="shared" si="2"/>
        <v>Unique</v>
      </c>
      <c r="I141" s="8" t="str">
        <f>IFERROR(__xludf.DUMMYFUNCTION("IF(C141="""",""Missing"",IF(REGEXMATCH(C141,""^[^@\s]+@[^@\s]+\.[^@\s]+$""),""Valid"",""Invalid""))"),"Valid")</f>
        <v>Valid</v>
      </c>
      <c r="J141" s="12" t="s">
        <v>789</v>
      </c>
      <c r="K141" s="12" t="s">
        <v>462</v>
      </c>
      <c r="L141" s="12" t="s">
        <v>140</v>
      </c>
      <c r="M141" s="8" t="str">
        <f t="shared" si="3"/>
        <v>Perú</v>
      </c>
      <c r="N141" s="12" t="s">
        <v>57</v>
      </c>
      <c r="O141" s="12" t="s">
        <v>49</v>
      </c>
      <c r="P141" s="12" t="s">
        <v>58</v>
      </c>
      <c r="Q141" s="8" t="str">
        <f t="shared" si="4"/>
        <v>Lost</v>
      </c>
      <c r="R141" s="16"/>
      <c r="S141" s="17">
        <v>46208.0</v>
      </c>
      <c r="T141" s="17">
        <v>46245.0</v>
      </c>
      <c r="U141" s="8" t="s">
        <v>30</v>
      </c>
    </row>
    <row r="142" ht="15.75" customHeight="1">
      <c r="A142" s="12" t="s">
        <v>790</v>
      </c>
      <c r="B142" s="12" t="s">
        <v>791</v>
      </c>
      <c r="C142" s="13" t="s">
        <v>792</v>
      </c>
      <c r="D142" s="8" t="str">
        <f t="shared" si="1"/>
        <v>carlos.morales7@company.com</v>
      </c>
      <c r="G142" s="8" t="str">
        <f t="shared" si="2"/>
        <v>Unique</v>
      </c>
      <c r="I142" s="8" t="str">
        <f>IFERROR(__xludf.DUMMYFUNCTION("IF(C142="""",""Missing"",IF(REGEXMATCH(C142,""^[^@\s]+@[^@\s]+\.[^@\s]+$""),""Valid"",""Invalid""))"),"Valid")</f>
        <v>Valid</v>
      </c>
      <c r="J142" s="12" t="s">
        <v>793</v>
      </c>
      <c r="K142" s="12" t="s">
        <v>228</v>
      </c>
      <c r="L142" s="12" t="s">
        <v>216</v>
      </c>
      <c r="M142" s="8" t="str">
        <f t="shared" si="3"/>
        <v>Salvador</v>
      </c>
      <c r="N142" s="12" t="s">
        <v>133</v>
      </c>
      <c r="O142" s="12" t="s">
        <v>40</v>
      </c>
      <c r="P142" s="12" t="s">
        <v>65</v>
      </c>
      <c r="Q142" s="8" t="str">
        <f t="shared" si="4"/>
        <v>Won</v>
      </c>
      <c r="R142" s="16"/>
      <c r="S142" s="17">
        <v>46226.0</v>
      </c>
      <c r="T142" s="17">
        <v>46238.0</v>
      </c>
      <c r="U142" s="8" t="s">
        <v>30</v>
      </c>
    </row>
    <row r="143" ht="15.75" customHeight="1">
      <c r="A143" s="12" t="s">
        <v>794</v>
      </c>
      <c r="B143" s="12" t="s">
        <v>795</v>
      </c>
      <c r="C143" s="13" t="s">
        <v>796</v>
      </c>
      <c r="D143" s="8" t="str">
        <f t="shared" si="1"/>
        <v>maria.morales26@outlook.com</v>
      </c>
      <c r="G143" s="8" t="str">
        <f t="shared" si="2"/>
        <v>Unique</v>
      </c>
      <c r="I143" s="8" t="str">
        <f>IFERROR(__xludf.DUMMYFUNCTION("IF(C143="""",""Missing"",IF(REGEXMATCH(C143,""^[^@\s]+@[^@\s]+\.[^@\s]+$""),""Valid"",""Invalid""))"),"Valid")</f>
        <v>Valid</v>
      </c>
      <c r="J143" s="12" t="s">
        <v>797</v>
      </c>
      <c r="K143" s="12" t="s">
        <v>332</v>
      </c>
      <c r="L143" s="12" t="s">
        <v>132</v>
      </c>
      <c r="M143" s="8" t="str">
        <f t="shared" si="3"/>
        <v>Argentina</v>
      </c>
      <c r="N143" s="12" t="s">
        <v>57</v>
      </c>
      <c r="O143" s="12" t="s">
        <v>217</v>
      </c>
      <c r="P143" s="12" t="s">
        <v>65</v>
      </c>
      <c r="Q143" s="8" t="str">
        <f t="shared" si="4"/>
        <v>Won</v>
      </c>
      <c r="R143" s="16">
        <v>750.0</v>
      </c>
      <c r="S143" s="17">
        <v>46198.0</v>
      </c>
      <c r="T143" s="17">
        <v>46236.0</v>
      </c>
      <c r="U143" s="8" t="s">
        <v>41</v>
      </c>
    </row>
    <row r="144" ht="15.75" customHeight="1">
      <c r="A144" s="12" t="s">
        <v>798</v>
      </c>
      <c r="B144" s="12" t="s">
        <v>799</v>
      </c>
      <c r="C144" s="13" t="s">
        <v>800</v>
      </c>
      <c r="D144" s="8" t="str">
        <f t="shared" si="1"/>
        <v>lucia.ortiz70@company.com</v>
      </c>
      <c r="G144" s="8" t="str">
        <f t="shared" si="2"/>
        <v>Unique</v>
      </c>
      <c r="I144" s="8" t="str">
        <f>IFERROR(__xludf.DUMMYFUNCTION("IF(C144="""",""Missing"",IF(REGEXMATCH(C144,""^[^@\s]+@[^@\s]+\.[^@\s]+$""),""Valid"",""Invalid""))"),"Valid")</f>
        <v>Valid</v>
      </c>
      <c r="J144" s="12" t="s">
        <v>801</v>
      </c>
      <c r="K144" s="12" t="s">
        <v>145</v>
      </c>
      <c r="L144" s="12" t="s">
        <v>88</v>
      </c>
      <c r="M144" s="8" t="str">
        <f t="shared" si="3"/>
        <v>El Salvador</v>
      </c>
      <c r="N144" s="12" t="s">
        <v>27</v>
      </c>
      <c r="O144" s="12" t="s">
        <v>49</v>
      </c>
      <c r="P144" s="12" t="s">
        <v>304</v>
      </c>
      <c r="Q144" s="8" t="str">
        <f t="shared" si="4"/>
        <v>Qualified</v>
      </c>
      <c r="R144" s="16">
        <v>4500.0</v>
      </c>
      <c r="S144" s="17">
        <v>46085.0</v>
      </c>
      <c r="T144" s="17">
        <v>46111.0</v>
      </c>
      <c r="U144" s="8" t="s">
        <v>66</v>
      </c>
    </row>
    <row r="145" ht="15.75" customHeight="1">
      <c r="A145" s="12" t="s">
        <v>802</v>
      </c>
      <c r="B145" s="12" t="s">
        <v>803</v>
      </c>
      <c r="C145" s="13" t="s">
        <v>804</v>
      </c>
      <c r="D145" s="8" t="str">
        <f t="shared" si="1"/>
        <v>fernando.flores76@company.com</v>
      </c>
      <c r="G145" s="8" t="str">
        <f t="shared" si="2"/>
        <v>Unique</v>
      </c>
      <c r="I145" s="8" t="str">
        <f>IFERROR(__xludf.DUMMYFUNCTION("IF(C145="""",""Missing"",IF(REGEXMATCH(C145,""^[^@\s]+@[^@\s]+\.[^@\s]+$""),""Valid"",""Invalid""))"),"Valid")</f>
        <v>Valid</v>
      </c>
      <c r="J145" s="12" t="s">
        <v>805</v>
      </c>
      <c r="K145" s="12" t="s">
        <v>112</v>
      </c>
      <c r="L145" s="12" t="s">
        <v>538</v>
      </c>
      <c r="M145" s="8" t="str">
        <f t="shared" si="3"/>
        <v>Spain</v>
      </c>
      <c r="N145" s="12" t="s">
        <v>133</v>
      </c>
      <c r="O145" s="12" t="s">
        <v>76</v>
      </c>
      <c r="P145" s="12" t="s">
        <v>65</v>
      </c>
      <c r="Q145" s="8" t="str">
        <f t="shared" si="4"/>
        <v>Won</v>
      </c>
      <c r="R145" s="16">
        <v>350.0</v>
      </c>
      <c r="S145" s="17">
        <v>46089.0</v>
      </c>
      <c r="T145" s="17">
        <v>46098.0</v>
      </c>
      <c r="U145" s="8" t="s">
        <v>41</v>
      </c>
    </row>
    <row r="146" ht="15.75" customHeight="1">
      <c r="A146" s="12" t="s">
        <v>806</v>
      </c>
      <c r="B146" s="12" t="s">
        <v>807</v>
      </c>
      <c r="C146" s="52" t="s">
        <v>808</v>
      </c>
      <c r="D146" s="8" t="str">
        <f t="shared" si="1"/>
        <v>manuel.rodriguez23@gmail</v>
      </c>
      <c r="E146" s="53" t="s">
        <v>662</v>
      </c>
      <c r="F146" s="53"/>
      <c r="G146" s="8" t="str">
        <f t="shared" si="2"/>
        <v>Unique</v>
      </c>
      <c r="I146" s="8" t="str">
        <f>IFERROR(__xludf.DUMMYFUNCTION("IF(C146="""",""Missing"",IF(REGEXMATCH(C146,""^[^@\s]+@[^@\s]+\.[^@\s]+$""),""Valid"",""Invalid""))"),"Invalid")</f>
        <v>Invalid</v>
      </c>
      <c r="J146" s="12" t="s">
        <v>809</v>
      </c>
      <c r="K146" s="12" t="s">
        <v>215</v>
      </c>
      <c r="L146" s="12" t="s">
        <v>88</v>
      </c>
      <c r="M146" s="8" t="str">
        <f t="shared" si="3"/>
        <v>El Salvador</v>
      </c>
      <c r="N146" s="12" t="s">
        <v>133</v>
      </c>
      <c r="O146" s="12" t="s">
        <v>49</v>
      </c>
      <c r="P146" s="12"/>
      <c r="Q146" s="8" t="str">
        <f t="shared" si="4"/>
        <v/>
      </c>
      <c r="R146" s="16">
        <v>2500.0</v>
      </c>
      <c r="S146" s="17">
        <v>46228.0</v>
      </c>
      <c r="T146" s="17">
        <v>46239.0</v>
      </c>
      <c r="U146" s="8" t="s">
        <v>41</v>
      </c>
    </row>
    <row r="147" ht="15.75" customHeight="1">
      <c r="A147" s="12" t="s">
        <v>810</v>
      </c>
      <c r="B147" s="12" t="s">
        <v>811</v>
      </c>
      <c r="C147" s="52"/>
      <c r="D147" s="8" t="str">
        <f t="shared" si="1"/>
        <v/>
      </c>
      <c r="G147" s="8" t="str">
        <f t="shared" si="2"/>
        <v>Missing Email</v>
      </c>
      <c r="I147" s="8" t="str">
        <f>IFERROR(__xludf.DUMMYFUNCTION("IF(C147="""",""Missing"",IF(REGEXMATCH(C147,""^[^@\s]+@[^@\s]+\.[^@\s]+$""),""Valid"",""Invalid""))"),"Missing")</f>
        <v>Missing</v>
      </c>
      <c r="J147" s="12" t="s">
        <v>812</v>
      </c>
      <c r="K147" s="12" t="s">
        <v>173</v>
      </c>
      <c r="L147" s="12" t="s">
        <v>664</v>
      </c>
      <c r="M147" s="8" t="str">
        <f t="shared" si="3"/>
        <v>Spain</v>
      </c>
      <c r="N147" s="12" t="s">
        <v>27</v>
      </c>
      <c r="O147" s="12" t="s">
        <v>49</v>
      </c>
      <c r="P147" s="12" t="s">
        <v>50</v>
      </c>
      <c r="Q147" s="8" t="str">
        <f t="shared" si="4"/>
        <v>New</v>
      </c>
      <c r="R147" s="16">
        <v>2000.0</v>
      </c>
      <c r="S147" s="17">
        <v>46227.0</v>
      </c>
      <c r="T147" s="17">
        <v>46240.0</v>
      </c>
      <c r="U147" s="8" t="s">
        <v>30</v>
      </c>
    </row>
    <row r="148" ht="15.75" customHeight="1">
      <c r="A148" s="12" t="s">
        <v>813</v>
      </c>
      <c r="B148" s="12" t="s">
        <v>667</v>
      </c>
      <c r="C148" s="13" t="s">
        <v>814</v>
      </c>
      <c r="D148" s="8" t="str">
        <f t="shared" si="1"/>
        <v>paula.lopez87@outlook.com</v>
      </c>
      <c r="G148" s="8" t="str">
        <f t="shared" si="2"/>
        <v>Unique</v>
      </c>
      <c r="I148" s="8" t="str">
        <f>IFERROR(__xludf.DUMMYFUNCTION("IF(C148="""",""Missing"",IF(REGEXMATCH(C148,""^[^@\s]+@[^@\s]+\.[^@\s]+$""),""Valid"",""Invalid""))"),"Valid")</f>
        <v>Valid</v>
      </c>
      <c r="J148" s="12" t="s">
        <v>815</v>
      </c>
      <c r="K148" s="12" t="s">
        <v>816</v>
      </c>
      <c r="L148" s="12" t="s">
        <v>132</v>
      </c>
      <c r="M148" s="8" t="str">
        <f t="shared" si="3"/>
        <v>Argentina</v>
      </c>
      <c r="N148" s="12" t="s">
        <v>57</v>
      </c>
      <c r="O148" s="12" t="s">
        <v>28</v>
      </c>
      <c r="P148" s="12" t="s">
        <v>65</v>
      </c>
      <c r="Q148" s="8" t="str">
        <f t="shared" si="4"/>
        <v>Won</v>
      </c>
      <c r="R148" s="16">
        <v>4500.0</v>
      </c>
      <c r="S148" s="17">
        <v>46116.0</v>
      </c>
      <c r="T148" s="17">
        <v>46135.0</v>
      </c>
      <c r="U148" s="8" t="s">
        <v>66</v>
      </c>
    </row>
    <row r="149" ht="15.75" customHeight="1">
      <c r="A149" s="12" t="s">
        <v>817</v>
      </c>
      <c r="B149" s="12" t="s">
        <v>818</v>
      </c>
      <c r="C149" s="13" t="s">
        <v>819</v>
      </c>
      <c r="D149" s="8" t="str">
        <f t="shared" si="1"/>
        <v>ricardo.torres8@gmail.com</v>
      </c>
      <c r="G149" s="8" t="str">
        <f t="shared" si="2"/>
        <v>Unique</v>
      </c>
      <c r="I149" s="8" t="str">
        <f>IFERROR(__xludf.DUMMYFUNCTION("IF(C149="""",""Missing"",IF(REGEXMATCH(C149,""^[^@\s]+@[^@\s]+\.[^@\s]+$""),""Valid"",""Invalid""))"),"Valid")</f>
        <v>Valid</v>
      </c>
      <c r="J149" s="12" t="s">
        <v>820</v>
      </c>
      <c r="K149" s="12" t="s">
        <v>173</v>
      </c>
      <c r="L149" s="12" t="s">
        <v>151</v>
      </c>
      <c r="M149" s="8" t="str">
        <f t="shared" si="3"/>
        <v>El Salvador</v>
      </c>
      <c r="N149" s="12" t="s">
        <v>27</v>
      </c>
      <c r="O149" s="12" t="s">
        <v>28</v>
      </c>
      <c r="P149" s="12" t="s">
        <v>77</v>
      </c>
      <c r="Q149" s="8" t="str">
        <f t="shared" si="4"/>
        <v>Proposal Sent</v>
      </c>
      <c r="R149" s="16">
        <v>2500.0</v>
      </c>
      <c r="S149" s="17">
        <v>46046.0</v>
      </c>
      <c r="T149" s="17">
        <v>46051.0</v>
      </c>
      <c r="U149" s="8" t="s">
        <v>41</v>
      </c>
    </row>
    <row r="150" ht="15.75" customHeight="1">
      <c r="A150" s="12" t="s">
        <v>821</v>
      </c>
      <c r="B150" s="12" t="s">
        <v>822</v>
      </c>
      <c r="C150" s="13" t="s">
        <v>823</v>
      </c>
      <c r="D150" s="8" t="str">
        <f t="shared" si="1"/>
        <v>lucia.flores76@company.com</v>
      </c>
      <c r="G150" s="8" t="str">
        <f t="shared" si="2"/>
        <v>Unique</v>
      </c>
      <c r="I150" s="8" t="str">
        <f>IFERROR(__xludf.DUMMYFUNCTION("IF(C150="""",""Missing"",IF(REGEXMATCH(C150,""^[^@\s]+@[^@\s]+\.[^@\s]+$""),""Valid"",""Invalid""))"),"Valid")</f>
        <v>Valid</v>
      </c>
      <c r="J150" s="12" t="s">
        <v>824</v>
      </c>
      <c r="K150" s="12" t="s">
        <v>509</v>
      </c>
      <c r="L150" s="12" t="s">
        <v>175</v>
      </c>
      <c r="M150" s="8" t="str">
        <f t="shared" si="3"/>
        <v>Peru</v>
      </c>
      <c r="N150" s="12" t="s">
        <v>27</v>
      </c>
      <c r="O150" s="12" t="s">
        <v>217</v>
      </c>
      <c r="P150" s="12" t="s">
        <v>134</v>
      </c>
      <c r="Q150" s="8" t="str">
        <f t="shared" si="4"/>
        <v>Qualified</v>
      </c>
      <c r="R150" s="16">
        <v>900.0</v>
      </c>
      <c r="S150" s="17">
        <v>46123.0</v>
      </c>
      <c r="T150" s="17">
        <v>46126.0</v>
      </c>
      <c r="U150" s="8" t="s">
        <v>41</v>
      </c>
    </row>
    <row r="151" ht="15.75" customHeight="1">
      <c r="A151" s="12" t="s">
        <v>825</v>
      </c>
      <c r="B151" s="12" t="s">
        <v>441</v>
      </c>
      <c r="C151" s="13" t="s">
        <v>826</v>
      </c>
      <c r="D151" s="8" t="str">
        <f t="shared" si="1"/>
        <v>fernando.ramirez1@gmail.com</v>
      </c>
      <c r="G151" s="8" t="str">
        <f t="shared" si="2"/>
        <v>Unique</v>
      </c>
      <c r="I151" s="8" t="str">
        <f>IFERROR(__xludf.DUMMYFUNCTION("IF(C151="""",""Missing"",IF(REGEXMATCH(C151,""^[^@\s]+@[^@\s]+\.[^@\s]+$""),""Valid"",""Invalid""))"),"Valid")</f>
        <v>Valid</v>
      </c>
      <c r="J151" s="12" t="s">
        <v>827</v>
      </c>
      <c r="K151" s="12"/>
      <c r="L151" s="12" t="s">
        <v>126</v>
      </c>
      <c r="M151" s="8" t="str">
        <f t="shared" si="3"/>
        <v>Peru</v>
      </c>
      <c r="N151" s="12" t="s">
        <v>39</v>
      </c>
      <c r="O151" s="12" t="s">
        <v>28</v>
      </c>
      <c r="P151" s="12" t="s">
        <v>65</v>
      </c>
      <c r="Q151" s="8" t="str">
        <f t="shared" si="4"/>
        <v>Won</v>
      </c>
      <c r="R151" s="16">
        <v>350.0</v>
      </c>
      <c r="S151" s="17">
        <v>46212.0</v>
      </c>
      <c r="T151" s="17">
        <v>46252.0</v>
      </c>
      <c r="U151" s="8" t="s">
        <v>95</v>
      </c>
    </row>
    <row r="152" ht="15.75" customHeight="1">
      <c r="A152" s="12" t="s">
        <v>828</v>
      </c>
      <c r="B152" s="12" t="s">
        <v>829</v>
      </c>
      <c r="C152" s="13" t="s">
        <v>830</v>
      </c>
      <c r="D152" s="8" t="str">
        <f t="shared" si="1"/>
        <v>gabriela.ramirez34@outlook.com</v>
      </c>
      <c r="G152" s="8" t="str">
        <f t="shared" si="2"/>
        <v>Unique</v>
      </c>
      <c r="I152" s="8" t="str">
        <f>IFERROR(__xludf.DUMMYFUNCTION("IF(C152="""",""Missing"",IF(REGEXMATCH(C152,""^[^@\s]+@[^@\s]+\.[^@\s]+$""),""Valid"",""Invalid""))"),"Valid")</f>
        <v>Valid</v>
      </c>
      <c r="J152" s="12" t="s">
        <v>831</v>
      </c>
      <c r="K152" s="12" t="s">
        <v>832</v>
      </c>
      <c r="L152" s="12" t="s">
        <v>168</v>
      </c>
      <c r="M152" s="8" t="str">
        <f t="shared" si="3"/>
        <v>Argentina</v>
      </c>
      <c r="N152" s="12" t="s">
        <v>106</v>
      </c>
      <c r="O152" s="12" t="s">
        <v>76</v>
      </c>
      <c r="P152" s="12" t="s">
        <v>304</v>
      </c>
      <c r="Q152" s="8" t="str">
        <f t="shared" si="4"/>
        <v>Qualified</v>
      </c>
      <c r="R152" s="16">
        <v>500.0</v>
      </c>
      <c r="S152" s="17">
        <v>46028.0</v>
      </c>
      <c r="T152" s="17">
        <v>46040.0</v>
      </c>
      <c r="U152" s="8" t="s">
        <v>107</v>
      </c>
    </row>
    <row r="153" ht="15.75" customHeight="1">
      <c r="A153" s="12" t="s">
        <v>833</v>
      </c>
      <c r="B153" s="12" t="s">
        <v>834</v>
      </c>
      <c r="C153" s="13" t="s">
        <v>835</v>
      </c>
      <c r="D153" s="8" t="str">
        <f t="shared" si="1"/>
        <v>jose.castro34@gmail.com</v>
      </c>
      <c r="G153" s="8" t="str">
        <f t="shared" si="2"/>
        <v>Unique</v>
      </c>
      <c r="I153" s="8" t="str">
        <f>IFERROR(__xludf.DUMMYFUNCTION("IF(C153="""",""Missing"",IF(REGEXMATCH(C153,""^[^@\s]+@[^@\s]+\.[^@\s]+$""),""Valid"",""Invalid""))"),"Valid")</f>
        <v>Valid</v>
      </c>
      <c r="J153" s="12" t="s">
        <v>836</v>
      </c>
      <c r="K153" s="12" t="s">
        <v>190</v>
      </c>
      <c r="L153" s="12" t="s">
        <v>283</v>
      </c>
      <c r="M153" s="8" t="str">
        <f t="shared" si="3"/>
        <v>Colombia</v>
      </c>
      <c r="N153" s="12" t="s">
        <v>106</v>
      </c>
      <c r="O153" s="12" t="s">
        <v>217</v>
      </c>
      <c r="P153" s="12" t="s">
        <v>77</v>
      </c>
      <c r="Q153" s="8" t="str">
        <f t="shared" si="4"/>
        <v>Proposal Sent</v>
      </c>
      <c r="R153" s="16">
        <v>1500.0</v>
      </c>
      <c r="S153" s="17">
        <v>46104.0</v>
      </c>
      <c r="T153" s="17">
        <v>46135.0</v>
      </c>
      <c r="U153" s="8" t="s">
        <v>95</v>
      </c>
    </row>
    <row r="154" ht="15.75" customHeight="1">
      <c r="A154" s="12" t="s">
        <v>837</v>
      </c>
      <c r="B154" s="12" t="s">
        <v>737</v>
      </c>
      <c r="C154" s="13" t="s">
        <v>838</v>
      </c>
      <c r="D154" s="8" t="str">
        <f t="shared" si="1"/>
        <v>paula.flores40@gmail.com</v>
      </c>
      <c r="G154" s="8" t="str">
        <f t="shared" si="2"/>
        <v>Unique</v>
      </c>
      <c r="I154" s="8" t="str">
        <f>IFERROR(__xludf.DUMMYFUNCTION("IF(C154="""",""Missing"",IF(REGEXMATCH(C154,""^[^@\s]+@[^@\s]+\.[^@\s]+$""),""Valid"",""Invalid""))"),"Valid")</f>
        <v>Valid</v>
      </c>
      <c r="J154" s="12" t="s">
        <v>839</v>
      </c>
      <c r="K154" s="12" t="s">
        <v>840</v>
      </c>
      <c r="L154" s="12" t="s">
        <v>175</v>
      </c>
      <c r="M154" s="8" t="str">
        <f t="shared" si="3"/>
        <v>Peru</v>
      </c>
      <c r="N154" s="12" t="s">
        <v>106</v>
      </c>
      <c r="O154" s="12" t="s">
        <v>217</v>
      </c>
      <c r="P154" s="12" t="s">
        <v>58</v>
      </c>
      <c r="Q154" s="8" t="str">
        <f t="shared" si="4"/>
        <v>Lost</v>
      </c>
      <c r="R154" s="16">
        <v>500.0</v>
      </c>
      <c r="S154" s="17">
        <v>46034.0</v>
      </c>
      <c r="T154" s="17">
        <v>46042.0</v>
      </c>
      <c r="U154" s="8" t="s">
        <v>66</v>
      </c>
    </row>
    <row r="155" ht="15.75" customHeight="1">
      <c r="A155" s="12" t="s">
        <v>841</v>
      </c>
      <c r="B155" s="12" t="s">
        <v>842</v>
      </c>
      <c r="C155" s="13" t="s">
        <v>843</v>
      </c>
      <c r="D155" s="8" t="str">
        <f t="shared" si="1"/>
        <v>andres.romero91@gmail.com</v>
      </c>
      <c r="G155" s="8" t="str">
        <f t="shared" si="2"/>
        <v>Unique</v>
      </c>
      <c r="I155" s="8" t="str">
        <f>IFERROR(__xludf.DUMMYFUNCTION("IF(C155="""",""Missing"",IF(REGEXMATCH(C155,""^[^@\s]+@[^@\s]+\.[^@\s]+$""),""Valid"",""Invalid""))"),"Valid")</f>
        <v>Valid</v>
      </c>
      <c r="J155" s="12" t="s">
        <v>844</v>
      </c>
      <c r="K155" s="12" t="s">
        <v>259</v>
      </c>
      <c r="L155" s="12" t="s">
        <v>174</v>
      </c>
      <c r="M155" s="8" t="str">
        <f t="shared" si="3"/>
        <v>Colombia</v>
      </c>
      <c r="N155" s="12" t="s">
        <v>106</v>
      </c>
      <c r="O155" s="12" t="s">
        <v>40</v>
      </c>
      <c r="P155" s="12" t="s">
        <v>50</v>
      </c>
      <c r="Q155" s="8" t="str">
        <f t="shared" si="4"/>
        <v>New</v>
      </c>
      <c r="R155" s="16">
        <v>1500.0</v>
      </c>
      <c r="S155" s="17">
        <v>46068.0</v>
      </c>
      <c r="T155" s="17">
        <v>46087.0</v>
      </c>
    </row>
    <row r="156" ht="15.75" customHeight="1">
      <c r="A156" s="12" t="s">
        <v>845</v>
      </c>
      <c r="B156" s="12" t="s">
        <v>846</v>
      </c>
      <c r="C156" s="13" t="s">
        <v>847</v>
      </c>
      <c r="D156" s="8" t="str">
        <f t="shared" si="1"/>
        <v>luis.flores66@gmail.com</v>
      </c>
      <c r="G156" s="8" t="str">
        <f t="shared" si="2"/>
        <v>Unique</v>
      </c>
      <c r="I156" s="8" t="str">
        <f>IFERROR(__xludf.DUMMYFUNCTION("IF(C156="""",""Missing"",IF(REGEXMATCH(C156,""^[^@\s]+@[^@\s]+\.[^@\s]+$""),""Valid"",""Invalid""))"),"Valid")</f>
        <v>Valid</v>
      </c>
      <c r="J156" s="12" t="s">
        <v>848</v>
      </c>
      <c r="K156" s="12" t="s">
        <v>25</v>
      </c>
      <c r="L156" s="12" t="s">
        <v>82</v>
      </c>
      <c r="M156" s="8" t="str">
        <f t="shared" si="3"/>
        <v>Spain</v>
      </c>
      <c r="N156" s="12" t="s">
        <v>133</v>
      </c>
      <c r="O156" s="12" t="s">
        <v>49</v>
      </c>
      <c r="P156" s="12" t="s">
        <v>77</v>
      </c>
      <c r="Q156" s="8" t="str">
        <f t="shared" si="4"/>
        <v>Proposal Sent</v>
      </c>
      <c r="R156" s="16">
        <v>750.0</v>
      </c>
      <c r="S156" s="17">
        <v>46137.0</v>
      </c>
      <c r="T156" s="17">
        <v>46153.0</v>
      </c>
      <c r="U156" s="8" t="s">
        <v>107</v>
      </c>
    </row>
    <row r="157" ht="15.75" customHeight="1">
      <c r="A157" s="12" t="s">
        <v>849</v>
      </c>
      <c r="B157" s="12" t="s">
        <v>517</v>
      </c>
      <c r="C157" s="13" t="s">
        <v>850</v>
      </c>
      <c r="D157" s="8" t="str">
        <f t="shared" si="1"/>
        <v>laura.rivera43@company.com</v>
      </c>
      <c r="G157" s="8" t="str">
        <f t="shared" si="2"/>
        <v>Unique</v>
      </c>
      <c r="I157" s="8" t="str">
        <f>IFERROR(__xludf.DUMMYFUNCTION("IF(C157="""",""Missing"",IF(REGEXMATCH(C157,""^[^@\s]+@[^@\s]+\.[^@\s]+$""),""Valid"",""Invalid""))"),"Valid")</f>
        <v>Valid</v>
      </c>
      <c r="J157" s="12" t="s">
        <v>851</v>
      </c>
      <c r="K157" s="12" t="s">
        <v>852</v>
      </c>
      <c r="L157" s="12" t="s">
        <v>168</v>
      </c>
      <c r="M157" s="8" t="str">
        <f t="shared" si="3"/>
        <v>Argentina</v>
      </c>
      <c r="N157" s="12" t="s">
        <v>27</v>
      </c>
      <c r="O157" s="12" t="s">
        <v>28</v>
      </c>
      <c r="P157" s="12" t="s">
        <v>134</v>
      </c>
      <c r="Q157" s="8" t="str">
        <f t="shared" si="4"/>
        <v>Qualified</v>
      </c>
      <c r="R157" s="16">
        <v>2500.0</v>
      </c>
      <c r="S157" s="17">
        <v>46189.0</v>
      </c>
      <c r="T157" s="17">
        <v>46223.0</v>
      </c>
      <c r="U157" s="8" t="s">
        <v>95</v>
      </c>
    </row>
    <row r="158" ht="15.75" customHeight="1">
      <c r="A158" s="12" t="s">
        <v>853</v>
      </c>
      <c r="B158" s="12" t="s">
        <v>854</v>
      </c>
      <c r="C158" s="13" t="s">
        <v>855</v>
      </c>
      <c r="D158" s="8" t="str">
        <f t="shared" si="1"/>
        <v>david.romero42@gmail.com</v>
      </c>
      <c r="G158" s="8" t="str">
        <f t="shared" si="2"/>
        <v>Unique</v>
      </c>
      <c r="I158" s="8" t="str">
        <f>IFERROR(__xludf.DUMMYFUNCTION("IF(C158="""",""Missing"",IF(REGEXMATCH(C158,""^[^@\s]+@[^@\s]+\.[^@\s]+$""),""Valid"",""Invalid""))"),"Valid")</f>
        <v>Valid</v>
      </c>
      <c r="J158" s="12" t="s">
        <v>856</v>
      </c>
      <c r="K158" s="12" t="s">
        <v>857</v>
      </c>
      <c r="L158" s="12" t="s">
        <v>132</v>
      </c>
      <c r="M158" s="8" t="str">
        <f t="shared" si="3"/>
        <v>Argentina</v>
      </c>
      <c r="N158" s="12" t="s">
        <v>39</v>
      </c>
      <c r="O158" s="12" t="s">
        <v>28</v>
      </c>
      <c r="P158" s="12" t="s">
        <v>134</v>
      </c>
      <c r="Q158" s="8" t="str">
        <f t="shared" si="4"/>
        <v>Qualified</v>
      </c>
      <c r="R158" s="16">
        <v>900.0</v>
      </c>
      <c r="S158" s="17">
        <v>46040.0</v>
      </c>
      <c r="T158" s="17">
        <v>46078.0</v>
      </c>
      <c r="U158" s="8" t="s">
        <v>30</v>
      </c>
    </row>
    <row r="159" ht="15.75" customHeight="1">
      <c r="A159" s="12" t="s">
        <v>858</v>
      </c>
      <c r="B159" s="12" t="s">
        <v>859</v>
      </c>
      <c r="C159" s="13" t="s">
        <v>860</v>
      </c>
      <c r="D159" s="8" t="str">
        <f t="shared" si="1"/>
        <v>manuel.gomez96@mail.com</v>
      </c>
      <c r="G159" s="8" t="str">
        <f t="shared" si="2"/>
        <v>Unique</v>
      </c>
      <c r="I159" s="8" t="str">
        <f>IFERROR(__xludf.DUMMYFUNCTION("IF(C159="""",""Missing"",IF(REGEXMATCH(C159,""^[^@\s]+@[^@\s]+\.[^@\s]+$""),""Valid"",""Invalid""))"),"Valid")</f>
        <v>Valid</v>
      </c>
      <c r="J159" s="12" t="s">
        <v>861</v>
      </c>
      <c r="K159" s="12" t="s">
        <v>131</v>
      </c>
      <c r="L159" s="12" t="s">
        <v>174</v>
      </c>
      <c r="M159" s="8" t="str">
        <f t="shared" si="3"/>
        <v>Colombia</v>
      </c>
      <c r="N159" s="12" t="s">
        <v>106</v>
      </c>
      <c r="O159" s="12" t="s">
        <v>49</v>
      </c>
      <c r="P159" s="12" t="s">
        <v>58</v>
      </c>
      <c r="Q159" s="8" t="str">
        <f t="shared" si="4"/>
        <v>Lost</v>
      </c>
      <c r="R159" s="16">
        <v>4500.0</v>
      </c>
      <c r="S159" s="17">
        <v>46260.0</v>
      </c>
      <c r="T159" s="17">
        <v>46272.0</v>
      </c>
      <c r="U159" s="8" t="s">
        <v>30</v>
      </c>
    </row>
    <row r="160" ht="15.75" customHeight="1">
      <c r="A160" s="12" t="s">
        <v>862</v>
      </c>
      <c r="B160" s="12" t="s">
        <v>863</v>
      </c>
      <c r="C160" s="13" t="s">
        <v>864</v>
      </c>
      <c r="D160" s="8" t="str">
        <f t="shared" si="1"/>
        <v>laura.torres19@gmail.com</v>
      </c>
      <c r="G160" s="8" t="str">
        <f t="shared" si="2"/>
        <v>Unique</v>
      </c>
      <c r="I160" s="8" t="str">
        <f>IFERROR(__xludf.DUMMYFUNCTION("IF(C160="""",""Missing"",IF(REGEXMATCH(C160,""^[^@\s]+@[^@\s]+\.[^@\s]+$""),""Valid"",""Invalid""))"),"Valid")</f>
        <v>Valid</v>
      </c>
      <c r="J160" s="12"/>
      <c r="K160" s="12" t="s">
        <v>865</v>
      </c>
      <c r="L160" s="12" t="s">
        <v>168</v>
      </c>
      <c r="M160" s="8" t="str">
        <f t="shared" si="3"/>
        <v>Argentina</v>
      </c>
      <c r="N160" s="12" t="s">
        <v>106</v>
      </c>
      <c r="O160" s="12" t="s">
        <v>49</v>
      </c>
      <c r="P160" s="12" t="s">
        <v>134</v>
      </c>
      <c r="Q160" s="8" t="str">
        <f t="shared" si="4"/>
        <v>Qualified</v>
      </c>
      <c r="R160" s="16"/>
      <c r="S160" s="17">
        <v>46173.0</v>
      </c>
      <c r="T160" s="17">
        <v>46215.0</v>
      </c>
      <c r="U160" s="8" t="s">
        <v>30</v>
      </c>
    </row>
    <row r="161" ht="15.75" customHeight="1">
      <c r="A161" s="12" t="s">
        <v>866</v>
      </c>
      <c r="B161" s="12" t="s">
        <v>867</v>
      </c>
      <c r="C161" s="13" t="s">
        <v>868</v>
      </c>
      <c r="D161" s="8" t="str">
        <f t="shared" si="1"/>
        <v>daniel.ramirez25@outlook.com</v>
      </c>
      <c r="G161" s="8" t="str">
        <f t="shared" si="2"/>
        <v>Unique</v>
      </c>
      <c r="I161" s="8" t="str">
        <f>IFERROR(__xludf.DUMMYFUNCTION("IF(C161="""",""Missing"",IF(REGEXMATCH(C161,""^[^@\s]+@[^@\s]+\.[^@\s]+$""),""Valid"",""Invalid""))"),"Valid")</f>
        <v>Valid</v>
      </c>
      <c r="J161" s="12" t="s">
        <v>869</v>
      </c>
      <c r="K161" s="12" t="s">
        <v>852</v>
      </c>
      <c r="L161" s="12" t="s">
        <v>220</v>
      </c>
      <c r="M161" s="8" t="str">
        <f t="shared" si="3"/>
        <v>Spain</v>
      </c>
      <c r="N161" s="12" t="s">
        <v>27</v>
      </c>
      <c r="O161" s="12" t="s">
        <v>217</v>
      </c>
      <c r="P161" s="12" t="s">
        <v>58</v>
      </c>
      <c r="Q161" s="8" t="str">
        <f t="shared" si="4"/>
        <v>Lost</v>
      </c>
      <c r="R161" s="16">
        <v>2000.0</v>
      </c>
      <c r="S161" s="17">
        <v>46114.0</v>
      </c>
      <c r="T161" s="17">
        <v>46148.0</v>
      </c>
    </row>
    <row r="162" ht="15.75" customHeight="1">
      <c r="A162" s="12" t="s">
        <v>870</v>
      </c>
      <c r="B162" s="12" t="s">
        <v>871</v>
      </c>
      <c r="C162" s="13" t="s">
        <v>872</v>
      </c>
      <c r="D162" s="8" t="str">
        <f t="shared" si="1"/>
        <v>manuel.martinez2@gmail.com</v>
      </c>
      <c r="G162" s="8" t="str">
        <f t="shared" si="2"/>
        <v>Unique</v>
      </c>
      <c r="I162" s="8" t="str">
        <f>IFERROR(__xludf.DUMMYFUNCTION("IF(C162="""",""Missing"",IF(REGEXMATCH(C162,""^[^@\s]+@[^@\s]+\.[^@\s]+$""),""Valid"",""Invalid""))"),"Valid")</f>
        <v>Valid</v>
      </c>
      <c r="J162" s="12" t="s">
        <v>873</v>
      </c>
      <c r="K162" s="12" t="s">
        <v>419</v>
      </c>
      <c r="L162" s="12" t="s">
        <v>64</v>
      </c>
      <c r="M162" s="8" t="str">
        <f t="shared" si="3"/>
        <v>Peru</v>
      </c>
      <c r="N162" s="12" t="s">
        <v>48</v>
      </c>
      <c r="O162" s="12" t="s">
        <v>217</v>
      </c>
      <c r="P162" s="12" t="s">
        <v>77</v>
      </c>
      <c r="Q162" s="8" t="str">
        <f t="shared" si="4"/>
        <v>Proposal Sent</v>
      </c>
      <c r="R162" s="16">
        <v>350.0</v>
      </c>
      <c r="S162" s="17">
        <v>46137.0</v>
      </c>
      <c r="T162" s="17">
        <v>46158.0</v>
      </c>
      <c r="U162" s="8" t="s">
        <v>66</v>
      </c>
    </row>
    <row r="163" ht="15.75" customHeight="1">
      <c r="A163" s="12" t="s">
        <v>874</v>
      </c>
      <c r="B163" s="12" t="s">
        <v>875</v>
      </c>
      <c r="C163" s="52" t="s">
        <v>876</v>
      </c>
      <c r="D163" s="8" t="str">
        <f t="shared" si="1"/>
        <v>miguel.sanchez3 @ mail.com</v>
      </c>
      <c r="E163" s="53" t="s">
        <v>188</v>
      </c>
      <c r="F163" s="53" t="s">
        <v>877</v>
      </c>
      <c r="G163" s="8" t="str">
        <f t="shared" si="2"/>
        <v>Unique</v>
      </c>
      <c r="I163" s="8" t="str">
        <f>IFERROR(__xludf.DUMMYFUNCTION("IF(C163="""",""Missing"",IF(REGEXMATCH(C163,""^[^@\s]+@[^@\s]+\.[^@\s]+$""),""Valid"",""Invalid""))"),"Invalid")</f>
        <v>Invalid</v>
      </c>
      <c r="J163" s="12" t="s">
        <v>878</v>
      </c>
      <c r="K163" s="12" t="s">
        <v>879</v>
      </c>
      <c r="L163" s="12" t="s">
        <v>211</v>
      </c>
      <c r="M163" s="8" t="str">
        <f t="shared" si="3"/>
        <v>Mexico</v>
      </c>
      <c r="N163" s="12" t="s">
        <v>48</v>
      </c>
      <c r="O163" s="12" t="s">
        <v>40</v>
      </c>
      <c r="P163" s="12" t="s">
        <v>50</v>
      </c>
      <c r="Q163" s="8" t="str">
        <f t="shared" si="4"/>
        <v>New</v>
      </c>
      <c r="R163" s="16">
        <v>1200.0</v>
      </c>
      <c r="S163" s="17">
        <v>46047.0</v>
      </c>
      <c r="T163" s="17">
        <v>46067.0</v>
      </c>
      <c r="U163" s="8" t="s">
        <v>107</v>
      </c>
    </row>
    <row r="164" ht="15.75" customHeight="1">
      <c r="A164" s="12" t="s">
        <v>880</v>
      </c>
      <c r="B164" s="12" t="s">
        <v>881</v>
      </c>
      <c r="C164" s="13" t="s">
        <v>882</v>
      </c>
      <c r="D164" s="8" t="str">
        <f t="shared" si="1"/>
        <v>raul.perez31@outlook.com</v>
      </c>
      <c r="G164" s="8" t="str">
        <f t="shared" si="2"/>
        <v>Unique</v>
      </c>
      <c r="I164" s="8" t="str">
        <f>IFERROR(__xludf.DUMMYFUNCTION("IF(C164="""",""Missing"",IF(REGEXMATCH(C164,""^[^@\s]+@[^@\s]+\.[^@\s]+$""),""Valid"",""Invalid""))"),"Valid")</f>
        <v>Valid</v>
      </c>
      <c r="J164" s="12" t="s">
        <v>883</v>
      </c>
      <c r="K164" s="12" t="s">
        <v>576</v>
      </c>
      <c r="L164" s="12" t="s">
        <v>211</v>
      </c>
      <c r="M164" s="8" t="str">
        <f t="shared" si="3"/>
        <v>Mexico</v>
      </c>
      <c r="N164" s="12" t="s">
        <v>57</v>
      </c>
      <c r="O164" s="12" t="s">
        <v>28</v>
      </c>
      <c r="P164" s="12" t="s">
        <v>609</v>
      </c>
      <c r="Q164" s="8" t="str">
        <f t="shared" si="4"/>
        <v>Proposal</v>
      </c>
      <c r="R164" s="16">
        <v>350.0</v>
      </c>
      <c r="S164" s="17">
        <v>46043.0</v>
      </c>
      <c r="T164" s="17">
        <v>46081.0</v>
      </c>
      <c r="U164" s="8" t="s">
        <v>41</v>
      </c>
    </row>
    <row r="165" ht="15.75" customHeight="1">
      <c r="A165" s="12" t="s">
        <v>884</v>
      </c>
      <c r="B165" s="12" t="s">
        <v>885</v>
      </c>
      <c r="C165" s="13" t="s">
        <v>886</v>
      </c>
      <c r="D165" s="8" t="str">
        <f t="shared" si="1"/>
        <v>lucia.romero64@mail.com</v>
      </c>
      <c r="G165" s="8" t="str">
        <f t="shared" si="2"/>
        <v>Unique</v>
      </c>
      <c r="I165" s="8" t="str">
        <f>IFERROR(__xludf.DUMMYFUNCTION("IF(C165="""",""Missing"",IF(REGEXMATCH(C165,""^[^@\s]+@[^@\s]+\.[^@\s]+$""),""Valid"",""Invalid""))"),"Valid")</f>
        <v>Valid</v>
      </c>
      <c r="J165" s="12" t="s">
        <v>887</v>
      </c>
      <c r="K165" s="12" t="s">
        <v>554</v>
      </c>
      <c r="L165" s="12" t="s">
        <v>26</v>
      </c>
      <c r="M165" s="8" t="str">
        <f t="shared" si="3"/>
        <v>Chile</v>
      </c>
      <c r="N165" s="12" t="s">
        <v>39</v>
      </c>
      <c r="O165" s="12" t="s">
        <v>76</v>
      </c>
      <c r="P165" s="12" t="s">
        <v>58</v>
      </c>
      <c r="Q165" s="8" t="str">
        <f t="shared" si="4"/>
        <v>Lost</v>
      </c>
      <c r="R165" s="16"/>
      <c r="S165" s="17">
        <v>46219.0</v>
      </c>
      <c r="T165" s="17">
        <v>46261.0</v>
      </c>
      <c r="U165" s="8" t="s">
        <v>41</v>
      </c>
    </row>
    <row r="166" ht="15.75" customHeight="1">
      <c r="A166" s="12" t="s">
        <v>888</v>
      </c>
      <c r="B166" s="12" t="s">
        <v>889</v>
      </c>
      <c r="C166" s="13" t="s">
        <v>890</v>
      </c>
      <c r="D166" s="8" t="str">
        <f t="shared" si="1"/>
        <v>alejandro.gonzalez30@mail.com</v>
      </c>
      <c r="G166" s="8" t="str">
        <f t="shared" si="2"/>
        <v>Unique</v>
      </c>
      <c r="I166" s="8" t="str">
        <f>IFERROR(__xludf.DUMMYFUNCTION("IF(C166="""",""Missing"",IF(REGEXMATCH(C166,""^[^@\s]+@[^@\s]+\.[^@\s]+$""),""Valid"",""Invalid""))"),"Valid")</f>
        <v>Valid</v>
      </c>
      <c r="J166" s="12" t="s">
        <v>891</v>
      </c>
      <c r="K166" s="12" t="s">
        <v>892</v>
      </c>
      <c r="L166" s="12" t="s">
        <v>162</v>
      </c>
      <c r="M166" s="8" t="str">
        <f t="shared" si="3"/>
        <v>United States</v>
      </c>
      <c r="N166" s="12" t="s">
        <v>57</v>
      </c>
      <c r="O166" s="12" t="s">
        <v>28</v>
      </c>
      <c r="P166" s="12" t="s">
        <v>134</v>
      </c>
      <c r="Q166" s="8" t="str">
        <f t="shared" si="4"/>
        <v>Qualified</v>
      </c>
      <c r="R166" s="16"/>
      <c r="S166" s="17">
        <v>46233.0</v>
      </c>
      <c r="T166" s="17">
        <v>46254.0</v>
      </c>
      <c r="U166" s="8" t="s">
        <v>66</v>
      </c>
    </row>
    <row r="167" ht="15.75" customHeight="1">
      <c r="A167" s="12" t="s">
        <v>893</v>
      </c>
      <c r="B167" s="12" t="s">
        <v>894</v>
      </c>
      <c r="C167" s="13" t="s">
        <v>895</v>
      </c>
      <c r="D167" s="8" t="str">
        <f t="shared" si="1"/>
        <v>andres.castro65@outlook.com</v>
      </c>
      <c r="G167" s="8" t="str">
        <f t="shared" si="2"/>
        <v>Unique</v>
      </c>
      <c r="I167" s="8" t="str">
        <f>IFERROR(__xludf.DUMMYFUNCTION("IF(C167="""",""Missing"",IF(REGEXMATCH(C167,""^[^@\s]+@[^@\s]+\.[^@\s]+$""),""Valid"",""Invalid""))"),"Valid")</f>
        <v>Valid</v>
      </c>
      <c r="J167" s="12" t="s">
        <v>896</v>
      </c>
      <c r="K167" s="12" t="s">
        <v>897</v>
      </c>
      <c r="L167" s="12" t="s">
        <v>75</v>
      </c>
      <c r="M167" s="8" t="str">
        <f t="shared" si="3"/>
        <v>United States</v>
      </c>
      <c r="N167" s="12" t="s">
        <v>27</v>
      </c>
      <c r="O167" s="12" t="s">
        <v>49</v>
      </c>
      <c r="P167" s="12" t="s">
        <v>134</v>
      </c>
      <c r="Q167" s="8" t="str">
        <f t="shared" si="4"/>
        <v>Qualified</v>
      </c>
      <c r="R167" s="16">
        <v>4500.0</v>
      </c>
      <c r="S167" s="17">
        <v>46212.0</v>
      </c>
      <c r="T167" s="17">
        <v>46257.0</v>
      </c>
    </row>
    <row r="168" ht="15.75" customHeight="1">
      <c r="A168" s="12" t="s">
        <v>898</v>
      </c>
      <c r="B168" s="12" t="s">
        <v>899</v>
      </c>
      <c r="C168" s="13" t="s">
        <v>900</v>
      </c>
      <c r="D168" s="8" t="str">
        <f t="shared" si="1"/>
        <v>manuel.sanchez24@gmail.com</v>
      </c>
      <c r="G168" s="8" t="str">
        <f t="shared" si="2"/>
        <v>Unique</v>
      </c>
      <c r="I168" s="8" t="str">
        <f>IFERROR(__xludf.DUMMYFUNCTION("IF(C168="""",""Missing"",IF(REGEXMATCH(C168,""^[^@\s]+@[^@\s]+\.[^@\s]+$""),""Valid"",""Invalid""))"),"Valid")</f>
        <v>Valid</v>
      </c>
      <c r="J168" s="12" t="s">
        <v>901</v>
      </c>
      <c r="K168" s="12" t="s">
        <v>228</v>
      </c>
      <c r="L168" s="12" t="s">
        <v>75</v>
      </c>
      <c r="M168" s="8" t="str">
        <f t="shared" si="3"/>
        <v>United States</v>
      </c>
      <c r="N168" s="12" t="s">
        <v>106</v>
      </c>
      <c r="O168" s="12" t="s">
        <v>49</v>
      </c>
      <c r="P168" s="12" t="s">
        <v>29</v>
      </c>
      <c r="Q168" s="8" t="str">
        <f t="shared" si="4"/>
        <v>Contacted</v>
      </c>
      <c r="R168" s="16">
        <v>1200.0</v>
      </c>
      <c r="S168" s="17">
        <v>46130.0</v>
      </c>
      <c r="T168" s="17">
        <v>46169.0</v>
      </c>
      <c r="U168" s="8" t="s">
        <v>30</v>
      </c>
    </row>
    <row r="169" ht="15.75" customHeight="1">
      <c r="A169" s="12" t="s">
        <v>902</v>
      </c>
      <c r="B169" s="12" t="s">
        <v>903</v>
      </c>
      <c r="C169" s="13" t="s">
        <v>904</v>
      </c>
      <c r="D169" s="8" t="str">
        <f t="shared" si="1"/>
        <v>ana.castro42@gmail.com</v>
      </c>
      <c r="G169" s="8" t="str">
        <f t="shared" si="2"/>
        <v>Unique</v>
      </c>
      <c r="I169" s="8" t="str">
        <f>IFERROR(__xludf.DUMMYFUNCTION("IF(C169="""",""Missing"",IF(REGEXMATCH(C169,""^[^@\s]+@[^@\s]+\.[^@\s]+$""),""Valid"",""Invalid""))"),"Valid")</f>
        <v>Valid</v>
      </c>
      <c r="J169" s="12"/>
      <c r="K169" s="12" t="s">
        <v>325</v>
      </c>
      <c r="L169" s="12" t="s">
        <v>538</v>
      </c>
      <c r="M169" s="8" t="str">
        <f t="shared" si="3"/>
        <v>Spain</v>
      </c>
      <c r="N169" s="12" t="s">
        <v>27</v>
      </c>
      <c r="O169" s="12" t="s">
        <v>28</v>
      </c>
      <c r="P169" s="12" t="s">
        <v>77</v>
      </c>
      <c r="Q169" s="8" t="str">
        <f t="shared" si="4"/>
        <v>Proposal Sent</v>
      </c>
      <c r="R169" s="16">
        <v>750.0</v>
      </c>
      <c r="S169" s="17">
        <v>46255.0</v>
      </c>
      <c r="T169" s="17">
        <v>46264.0</v>
      </c>
    </row>
    <row r="170" ht="15.75" customHeight="1">
      <c r="A170" s="12" t="s">
        <v>905</v>
      </c>
      <c r="B170" s="12" t="s">
        <v>906</v>
      </c>
      <c r="C170" s="13" t="s">
        <v>907</v>
      </c>
      <c r="D170" s="8" t="str">
        <f t="shared" si="1"/>
        <v>patricia.rivera43@outlook.com</v>
      </c>
      <c r="G170" s="8" t="str">
        <f t="shared" si="2"/>
        <v>Unique</v>
      </c>
      <c r="I170" s="8" t="str">
        <f>IFERROR(__xludf.DUMMYFUNCTION("IF(C170="""",""Missing"",IF(REGEXMATCH(C170,""^[^@\s]+@[^@\s]+\.[^@\s]+$""),""Valid"",""Invalid""))"),"Valid")</f>
        <v>Valid</v>
      </c>
      <c r="J170" s="12" t="s">
        <v>908</v>
      </c>
      <c r="K170" s="12" t="s">
        <v>909</v>
      </c>
      <c r="L170" s="12" t="s">
        <v>211</v>
      </c>
      <c r="M170" s="8" t="str">
        <f t="shared" si="3"/>
        <v>Mexico</v>
      </c>
      <c r="N170" s="12" t="s">
        <v>106</v>
      </c>
      <c r="O170" s="12" t="s">
        <v>40</v>
      </c>
      <c r="P170" s="12" t="s">
        <v>29</v>
      </c>
      <c r="Q170" s="8" t="str">
        <f t="shared" si="4"/>
        <v>Contacted</v>
      </c>
      <c r="R170" s="16">
        <v>750.0</v>
      </c>
      <c r="S170" s="17">
        <v>46127.0</v>
      </c>
      <c r="T170" s="17">
        <v>46168.0</v>
      </c>
    </row>
    <row r="171" ht="15.75" customHeight="1">
      <c r="A171" s="12" t="s">
        <v>910</v>
      </c>
      <c r="B171" s="12" t="s">
        <v>911</v>
      </c>
      <c r="C171" s="13" t="s">
        <v>912</v>
      </c>
      <c r="D171" s="8" t="str">
        <f t="shared" si="1"/>
        <v>valeria.vargas97@company.com</v>
      </c>
      <c r="G171" s="8" t="str">
        <f t="shared" si="2"/>
        <v>Unique</v>
      </c>
      <c r="I171" s="8" t="str">
        <f>IFERROR(__xludf.DUMMYFUNCTION("IF(C171="""",""Missing"",IF(REGEXMATCH(C171,""^[^@\s]+@[^@\s]+\.[^@\s]+$""),""Valid"",""Invalid""))"),"Valid")</f>
        <v>Valid</v>
      </c>
      <c r="J171" s="12" t="s">
        <v>913</v>
      </c>
      <c r="K171" s="12" t="s">
        <v>760</v>
      </c>
      <c r="L171" s="12" t="s">
        <v>248</v>
      </c>
      <c r="M171" s="8" t="str">
        <f t="shared" si="3"/>
        <v>Colombia</v>
      </c>
      <c r="N171" s="12" t="s">
        <v>27</v>
      </c>
      <c r="O171" s="12" t="s">
        <v>40</v>
      </c>
      <c r="P171" s="12" t="s">
        <v>77</v>
      </c>
      <c r="Q171" s="8" t="str">
        <f t="shared" si="4"/>
        <v>Proposal Sent</v>
      </c>
      <c r="R171" s="16">
        <v>2000.0</v>
      </c>
      <c r="S171" s="17">
        <v>46238.0</v>
      </c>
      <c r="T171" s="17">
        <v>46263.0</v>
      </c>
      <c r="U171" s="8" t="s">
        <v>66</v>
      </c>
    </row>
    <row r="172" ht="15.75" customHeight="1">
      <c r="A172" s="12" t="s">
        <v>914</v>
      </c>
      <c r="B172" s="12" t="s">
        <v>915</v>
      </c>
      <c r="C172" s="13" t="s">
        <v>916</v>
      </c>
      <c r="D172" s="8" t="str">
        <f t="shared" si="1"/>
        <v>isabel.castro42@company.com</v>
      </c>
      <c r="G172" s="8" t="str">
        <f t="shared" si="2"/>
        <v>Unique</v>
      </c>
      <c r="I172" s="8" t="str">
        <f>IFERROR(__xludf.DUMMYFUNCTION("IF(C172="""",""Missing"",IF(REGEXMATCH(C172,""^[^@\s]+@[^@\s]+\.[^@\s]+$""),""Valid"",""Invalid""))"),"Valid")</f>
        <v>Valid</v>
      </c>
      <c r="J172" s="12" t="s">
        <v>917</v>
      </c>
      <c r="K172" s="12" t="s">
        <v>266</v>
      </c>
      <c r="L172" s="12" t="s">
        <v>664</v>
      </c>
      <c r="M172" s="8" t="str">
        <f t="shared" si="3"/>
        <v>Spain</v>
      </c>
      <c r="N172" s="12" t="s">
        <v>39</v>
      </c>
      <c r="O172" s="12" t="s">
        <v>40</v>
      </c>
      <c r="P172" s="12" t="s">
        <v>58</v>
      </c>
      <c r="Q172" s="8" t="str">
        <f t="shared" si="4"/>
        <v>Lost</v>
      </c>
      <c r="R172" s="16">
        <v>750.0</v>
      </c>
      <c r="S172" s="17">
        <v>46100.0</v>
      </c>
      <c r="T172" s="17">
        <v>46104.0</v>
      </c>
      <c r="U172" s="8" t="s">
        <v>41</v>
      </c>
    </row>
    <row r="173" ht="15.75" customHeight="1">
      <c r="A173" s="12" t="s">
        <v>918</v>
      </c>
      <c r="B173" s="12" t="s">
        <v>863</v>
      </c>
      <c r="C173" s="52" t="s">
        <v>919</v>
      </c>
      <c r="D173" s="8" t="str">
        <f t="shared" si="1"/>
        <v>laura.torres81@gmail</v>
      </c>
      <c r="E173" s="53" t="s">
        <v>662</v>
      </c>
      <c r="F173" s="53"/>
      <c r="G173" s="8" t="str">
        <f t="shared" si="2"/>
        <v>Unique</v>
      </c>
      <c r="I173" s="8" t="str">
        <f>IFERROR(__xludf.DUMMYFUNCTION("IF(C173="""",""Missing"",IF(REGEXMATCH(C173,""^[^@\s]+@[^@\s]+\.[^@\s]+$""),""Valid"",""Invalid""))"),"Invalid")</f>
        <v>Invalid</v>
      </c>
      <c r="J173" s="12" t="s">
        <v>920</v>
      </c>
      <c r="K173" s="12" t="s">
        <v>223</v>
      </c>
      <c r="L173" s="12" t="s">
        <v>56</v>
      </c>
      <c r="M173" s="8" t="str">
        <f t="shared" si="3"/>
        <v>Argentina</v>
      </c>
      <c r="N173" s="12" t="s">
        <v>57</v>
      </c>
      <c r="O173" s="12" t="s">
        <v>49</v>
      </c>
      <c r="P173" s="12" t="s">
        <v>65</v>
      </c>
      <c r="Q173" s="8" t="str">
        <f t="shared" si="4"/>
        <v>Won</v>
      </c>
      <c r="R173" s="16">
        <v>3000.0</v>
      </c>
      <c r="S173" s="17">
        <v>46053.0</v>
      </c>
      <c r="T173" s="17"/>
      <c r="U173" s="8" t="s">
        <v>30</v>
      </c>
    </row>
    <row r="174" ht="15.75" customHeight="1">
      <c r="A174" s="12" t="s">
        <v>921</v>
      </c>
      <c r="B174" s="12" t="s">
        <v>922</v>
      </c>
      <c r="C174" s="13" t="s">
        <v>923</v>
      </c>
      <c r="D174" s="8" t="str">
        <f t="shared" si="1"/>
        <v>fernando.vargas89@gmail.com</v>
      </c>
      <c r="G174" s="8" t="str">
        <f t="shared" si="2"/>
        <v>Unique</v>
      </c>
      <c r="I174" s="8" t="str">
        <f>IFERROR(__xludf.DUMMYFUNCTION("IF(C174="""",""Missing"",IF(REGEXMATCH(C174,""^[^@\s]+@[^@\s]+\.[^@\s]+$""),""Valid"",""Invalid""))"),"Valid")</f>
        <v>Valid</v>
      </c>
      <c r="J174" s="12" t="s">
        <v>924</v>
      </c>
      <c r="K174" s="12" t="s">
        <v>400</v>
      </c>
      <c r="L174" s="12" t="s">
        <v>38</v>
      </c>
      <c r="M174" s="8" t="str">
        <f t="shared" si="3"/>
        <v>Chile</v>
      </c>
      <c r="N174" s="12" t="s">
        <v>57</v>
      </c>
      <c r="O174" s="12" t="s">
        <v>217</v>
      </c>
      <c r="P174" s="12" t="s">
        <v>77</v>
      </c>
      <c r="Q174" s="8" t="str">
        <f t="shared" si="4"/>
        <v>Proposal Sent</v>
      </c>
      <c r="R174" s="16">
        <v>2000.0</v>
      </c>
      <c r="S174" s="17">
        <v>46244.0</v>
      </c>
      <c r="T174" s="17">
        <v>46282.0</v>
      </c>
      <c r="U174" s="8" t="s">
        <v>107</v>
      </c>
    </row>
    <row r="175" ht="15.75" customHeight="1">
      <c r="A175" s="12" t="s">
        <v>925</v>
      </c>
      <c r="B175" s="12" t="s">
        <v>926</v>
      </c>
      <c r="C175" s="13" t="s">
        <v>927</v>
      </c>
      <c r="D175" s="8" t="str">
        <f t="shared" si="1"/>
        <v>maria.gomez45@company.com</v>
      </c>
      <c r="G175" s="8" t="str">
        <f t="shared" si="2"/>
        <v>Unique</v>
      </c>
      <c r="I175" s="8" t="str">
        <f>IFERROR(__xludf.DUMMYFUNCTION("IF(C175="""",""Missing"",IF(REGEXMATCH(C175,""^[^@\s]+@[^@\s]+\.[^@\s]+$""),""Valid"",""Invalid""))"),"Valid")</f>
        <v>Valid</v>
      </c>
      <c r="J175" s="12" t="s">
        <v>928</v>
      </c>
      <c r="K175" s="12" t="s">
        <v>713</v>
      </c>
      <c r="L175" s="12" t="s">
        <v>132</v>
      </c>
      <c r="M175" s="8" t="str">
        <f t="shared" si="3"/>
        <v>Argentina</v>
      </c>
      <c r="N175" s="12" t="s">
        <v>48</v>
      </c>
      <c r="O175" s="12" t="s">
        <v>40</v>
      </c>
      <c r="P175" s="12" t="s">
        <v>134</v>
      </c>
      <c r="Q175" s="8" t="str">
        <f t="shared" si="4"/>
        <v>Qualified</v>
      </c>
      <c r="R175" s="16">
        <v>3000.0</v>
      </c>
      <c r="S175" s="17">
        <v>46041.0</v>
      </c>
      <c r="T175" s="17">
        <v>46070.0</v>
      </c>
      <c r="U175" s="8" t="s">
        <v>107</v>
      </c>
    </row>
    <row r="176" ht="15.75" customHeight="1">
      <c r="A176" s="12" t="s">
        <v>929</v>
      </c>
      <c r="B176" s="12" t="s">
        <v>930</v>
      </c>
      <c r="C176" s="13" t="s">
        <v>931</v>
      </c>
      <c r="D176" s="8" t="str">
        <f t="shared" si="1"/>
        <v>carlos.hernandez52@outlook.com</v>
      </c>
      <c r="G176" s="8" t="str">
        <f t="shared" si="2"/>
        <v>Unique</v>
      </c>
      <c r="I176" s="8" t="str">
        <f>IFERROR(__xludf.DUMMYFUNCTION("IF(C176="""",""Missing"",IF(REGEXMATCH(C176,""^[^@\s]+@[^@\s]+\.[^@\s]+$""),""Valid"",""Invalid""))"),"Valid")</f>
        <v>Valid</v>
      </c>
      <c r="J176" s="12" t="s">
        <v>932</v>
      </c>
      <c r="K176" s="12" t="s">
        <v>879</v>
      </c>
      <c r="L176" s="12" t="s">
        <v>88</v>
      </c>
      <c r="M176" s="8" t="str">
        <f t="shared" si="3"/>
        <v>El Salvador</v>
      </c>
      <c r="N176" s="12" t="s">
        <v>57</v>
      </c>
      <c r="O176" s="12" t="s">
        <v>40</v>
      </c>
      <c r="P176" s="12" t="s">
        <v>29</v>
      </c>
      <c r="Q176" s="8" t="str">
        <f t="shared" si="4"/>
        <v>Contacted</v>
      </c>
      <c r="R176" s="16">
        <v>3000.0</v>
      </c>
      <c r="S176" s="17">
        <v>46248.0</v>
      </c>
      <c r="T176" s="17">
        <v>46290.0</v>
      </c>
      <c r="U176" s="8" t="s">
        <v>107</v>
      </c>
    </row>
    <row r="177" ht="15.75" customHeight="1">
      <c r="A177" s="12" t="s">
        <v>933</v>
      </c>
      <c r="B177" s="12" t="s">
        <v>255</v>
      </c>
      <c r="C177" s="13" t="s">
        <v>934</v>
      </c>
      <c r="D177" s="8" t="str">
        <f t="shared" si="1"/>
        <v>isabel.ortiz35@gmail.com</v>
      </c>
      <c r="G177" s="8" t="str">
        <f t="shared" si="2"/>
        <v>Unique</v>
      </c>
      <c r="I177" s="8" t="str">
        <f>IFERROR(__xludf.DUMMYFUNCTION("IF(C177="""",""Missing"",IF(REGEXMATCH(C177,""^[^@\s]+@[^@\s]+\.[^@\s]+$""),""Valid"",""Invalid""))"),"Valid")</f>
        <v>Valid</v>
      </c>
      <c r="J177" s="12" t="s">
        <v>935</v>
      </c>
      <c r="K177" s="12" t="s">
        <v>936</v>
      </c>
      <c r="L177" s="12" t="s">
        <v>47</v>
      </c>
      <c r="M177" s="8" t="str">
        <f t="shared" si="3"/>
        <v>El Salvador</v>
      </c>
      <c r="N177" s="12" t="s">
        <v>57</v>
      </c>
      <c r="O177" s="12" t="s">
        <v>217</v>
      </c>
      <c r="P177" s="12" t="s">
        <v>134</v>
      </c>
      <c r="Q177" s="8" t="str">
        <f t="shared" si="4"/>
        <v>Qualified</v>
      </c>
      <c r="R177" s="16">
        <v>900.0</v>
      </c>
      <c r="S177" s="17">
        <v>46216.0</v>
      </c>
      <c r="T177" s="17">
        <v>46230.0</v>
      </c>
      <c r="U177" s="8" t="s">
        <v>66</v>
      </c>
    </row>
    <row r="178" ht="15.75" customHeight="1">
      <c r="A178" s="12" t="s">
        <v>937</v>
      </c>
      <c r="B178" s="12" t="s">
        <v>234</v>
      </c>
      <c r="C178" s="13" t="s">
        <v>938</v>
      </c>
      <c r="D178" s="8" t="str">
        <f t="shared" si="1"/>
        <v>patricia.diaz44@mail.com</v>
      </c>
      <c r="G178" s="8" t="str">
        <f t="shared" si="2"/>
        <v>Unique</v>
      </c>
      <c r="I178" s="8" t="str">
        <f>IFERROR(__xludf.DUMMYFUNCTION("IF(C178="""",""Missing"",IF(REGEXMATCH(C178,""^[^@\s]+@[^@\s]+\.[^@\s]+$""),""Valid"",""Invalid""))"),"Valid")</f>
        <v>Valid</v>
      </c>
      <c r="J178" s="12"/>
      <c r="K178" s="12" t="s">
        <v>939</v>
      </c>
      <c r="L178" s="12" t="s">
        <v>168</v>
      </c>
      <c r="M178" s="8" t="str">
        <f t="shared" si="3"/>
        <v>Argentina</v>
      </c>
      <c r="N178" s="12" t="s">
        <v>27</v>
      </c>
      <c r="O178" s="12" t="s">
        <v>40</v>
      </c>
      <c r="P178" s="12" t="s">
        <v>77</v>
      </c>
      <c r="Q178" s="8" t="str">
        <f t="shared" si="4"/>
        <v>Proposal Sent</v>
      </c>
      <c r="R178" s="16">
        <v>3000.0</v>
      </c>
      <c r="S178" s="17">
        <v>46095.0</v>
      </c>
      <c r="T178" s="17"/>
      <c r="U178" s="8" t="s">
        <v>107</v>
      </c>
    </row>
    <row r="179" ht="15.75" customHeight="1">
      <c r="A179" s="12" t="s">
        <v>940</v>
      </c>
      <c r="B179" s="12" t="s">
        <v>941</v>
      </c>
      <c r="C179" s="13" t="s">
        <v>942</v>
      </c>
      <c r="D179" s="8" t="str">
        <f t="shared" si="1"/>
        <v>sergio.sanchez42@gmail.com</v>
      </c>
      <c r="G179" s="8" t="str">
        <f t="shared" si="2"/>
        <v>Unique</v>
      </c>
      <c r="I179" s="8" t="str">
        <f>IFERROR(__xludf.DUMMYFUNCTION("IF(C179="""",""Missing"",IF(REGEXMATCH(C179,""^[^@\s]+@[^@\s]+\.[^@\s]+$""),""Valid"",""Invalid""))"),"Valid")</f>
        <v>Valid</v>
      </c>
      <c r="J179" s="12" t="s">
        <v>943</v>
      </c>
      <c r="K179" s="12" t="s">
        <v>944</v>
      </c>
      <c r="L179" s="12" t="s">
        <v>201</v>
      </c>
      <c r="M179" s="8" t="str">
        <f t="shared" si="3"/>
        <v>Mexico</v>
      </c>
      <c r="N179" s="12" t="s">
        <v>27</v>
      </c>
      <c r="O179" s="12" t="s">
        <v>217</v>
      </c>
      <c r="P179" s="12" t="s">
        <v>50</v>
      </c>
      <c r="Q179" s="8" t="str">
        <f t="shared" si="4"/>
        <v>New</v>
      </c>
      <c r="R179" s="16">
        <v>750.0</v>
      </c>
      <c r="S179" s="17">
        <v>46027.0</v>
      </c>
      <c r="T179" s="17">
        <v>46043.0</v>
      </c>
      <c r="U179" s="8" t="s">
        <v>66</v>
      </c>
    </row>
    <row r="180" ht="15.75" customHeight="1">
      <c r="A180" s="12" t="s">
        <v>945</v>
      </c>
      <c r="B180" s="12" t="s">
        <v>946</v>
      </c>
      <c r="C180" s="13" t="s">
        <v>947</v>
      </c>
      <c r="D180" s="8" t="str">
        <f t="shared" si="1"/>
        <v>paula.garcia31@outlook.com</v>
      </c>
      <c r="G180" s="8" t="str">
        <f t="shared" si="2"/>
        <v>Unique</v>
      </c>
      <c r="I180" s="8" t="str">
        <f>IFERROR(__xludf.DUMMYFUNCTION("IF(C180="""",""Missing"",IF(REGEXMATCH(C180,""^[^@\s]+@[^@\s]+\.[^@\s]+$""),""Valid"",""Invalid""))"),"Valid")</f>
        <v>Valid</v>
      </c>
      <c r="J180" s="12" t="s">
        <v>948</v>
      </c>
      <c r="K180" s="12" t="s">
        <v>949</v>
      </c>
      <c r="L180" s="12" t="s">
        <v>38</v>
      </c>
      <c r="M180" s="8" t="str">
        <f t="shared" si="3"/>
        <v>Chile</v>
      </c>
      <c r="N180" s="12" t="s">
        <v>133</v>
      </c>
      <c r="O180" s="12" t="s">
        <v>49</v>
      </c>
      <c r="P180" s="12" t="s">
        <v>58</v>
      </c>
      <c r="Q180" s="8" t="str">
        <f t="shared" si="4"/>
        <v>Lost</v>
      </c>
      <c r="R180" s="16">
        <v>750.0</v>
      </c>
      <c r="S180" s="17">
        <v>46097.0</v>
      </c>
      <c r="T180" s="17">
        <v>46142.0</v>
      </c>
      <c r="U180" s="8" t="s">
        <v>66</v>
      </c>
    </row>
    <row r="181" ht="15.75" customHeight="1">
      <c r="A181" s="12" t="s">
        <v>950</v>
      </c>
      <c r="B181" s="12" t="s">
        <v>951</v>
      </c>
      <c r="C181" s="13" t="s">
        <v>952</v>
      </c>
      <c r="D181" s="8" t="str">
        <f t="shared" si="1"/>
        <v>isabel.torres94@mail.com</v>
      </c>
      <c r="G181" s="8" t="str">
        <f t="shared" si="2"/>
        <v>Unique</v>
      </c>
      <c r="I181" s="8" t="str">
        <f>IFERROR(__xludf.DUMMYFUNCTION("IF(C181="""",""Missing"",IF(REGEXMATCH(C181,""^[^@\s]+@[^@\s]+\.[^@\s]+$""),""Valid"",""Invalid""))"),"Valid")</f>
        <v>Valid</v>
      </c>
      <c r="J181" s="12" t="s">
        <v>953</v>
      </c>
      <c r="K181" s="12"/>
      <c r="L181" s="12" t="s">
        <v>88</v>
      </c>
      <c r="M181" s="8" t="str">
        <f t="shared" si="3"/>
        <v>El Salvador</v>
      </c>
      <c r="N181" s="12" t="s">
        <v>27</v>
      </c>
      <c r="O181" s="12" t="s">
        <v>49</v>
      </c>
      <c r="P181" s="12" t="s">
        <v>58</v>
      </c>
      <c r="Q181" s="8" t="str">
        <f t="shared" si="4"/>
        <v>Lost</v>
      </c>
      <c r="R181" s="16">
        <v>3000.0</v>
      </c>
      <c r="S181" s="17">
        <v>46083.0</v>
      </c>
      <c r="T181" s="17">
        <v>46123.0</v>
      </c>
      <c r="U181" s="8" t="s">
        <v>107</v>
      </c>
    </row>
    <row r="182" ht="15.75" customHeight="1">
      <c r="A182" s="12" t="s">
        <v>954</v>
      </c>
      <c r="B182" s="12" t="s">
        <v>955</v>
      </c>
      <c r="C182" s="13" t="s">
        <v>956</v>
      </c>
      <c r="D182" s="8" t="str">
        <f t="shared" si="1"/>
        <v>luis.romero32@mail.com</v>
      </c>
      <c r="G182" s="8" t="str">
        <f t="shared" si="2"/>
        <v>Unique</v>
      </c>
      <c r="I182" s="8" t="str">
        <f>IFERROR(__xludf.DUMMYFUNCTION("IF(C182="""",""Missing"",IF(REGEXMATCH(C182,""^[^@\s]+@[^@\s]+\.[^@\s]+$""),""Valid"",""Invalid""))"),"Valid")</f>
        <v>Valid</v>
      </c>
      <c r="J182" s="12" t="s">
        <v>957</v>
      </c>
      <c r="K182" s="12" t="s">
        <v>266</v>
      </c>
      <c r="L182" s="12" t="s">
        <v>162</v>
      </c>
      <c r="M182" s="8" t="str">
        <f t="shared" si="3"/>
        <v>United States</v>
      </c>
      <c r="N182" s="12" t="s">
        <v>106</v>
      </c>
      <c r="O182" s="12" t="s">
        <v>28</v>
      </c>
      <c r="P182" s="12" t="s">
        <v>29</v>
      </c>
      <c r="Q182" s="8" t="str">
        <f t="shared" si="4"/>
        <v>Contacted</v>
      </c>
      <c r="R182" s="16">
        <v>750.0</v>
      </c>
      <c r="S182" s="17">
        <v>46201.0</v>
      </c>
      <c r="T182" s="17">
        <v>46211.0</v>
      </c>
      <c r="U182" s="8" t="s">
        <v>30</v>
      </c>
    </row>
    <row r="183" ht="15.75" customHeight="1">
      <c r="A183" s="12" t="s">
        <v>958</v>
      </c>
      <c r="B183" s="12" t="s">
        <v>959</v>
      </c>
      <c r="C183" s="13" t="s">
        <v>960</v>
      </c>
      <c r="D183" s="8" t="str">
        <f t="shared" si="1"/>
        <v>javier.vargas25@gmail.com</v>
      </c>
      <c r="G183" s="8" t="str">
        <f t="shared" si="2"/>
        <v>Unique</v>
      </c>
      <c r="I183" s="8" t="str">
        <f>IFERROR(__xludf.DUMMYFUNCTION("IF(C183="""",""Missing"",IF(REGEXMATCH(C183,""^[^@\s]+@[^@\s]+\.[^@\s]+$""),""Valid"",""Invalid""))"),"Valid")</f>
        <v>Valid</v>
      </c>
      <c r="J183" s="12"/>
      <c r="K183" s="12" t="s">
        <v>962</v>
      </c>
      <c r="L183" s="12" t="s">
        <v>283</v>
      </c>
      <c r="M183" s="8" t="str">
        <f t="shared" si="3"/>
        <v>Colombia</v>
      </c>
      <c r="N183" s="12" t="s">
        <v>48</v>
      </c>
      <c r="O183" s="12" t="s">
        <v>40</v>
      </c>
      <c r="P183" s="12" t="s">
        <v>77</v>
      </c>
      <c r="Q183" s="8" t="str">
        <f t="shared" si="4"/>
        <v>Proposal Sent</v>
      </c>
      <c r="R183" s="16">
        <v>500.0</v>
      </c>
      <c r="S183" s="17">
        <v>46189.0</v>
      </c>
      <c r="T183" s="17">
        <v>46190.0</v>
      </c>
      <c r="U183" s="8" t="s">
        <v>66</v>
      </c>
    </row>
    <row r="184" ht="15.75" customHeight="1">
      <c r="A184" s="12" t="s">
        <v>964</v>
      </c>
      <c r="B184" s="12" t="s">
        <v>965</v>
      </c>
      <c r="C184" s="13" t="s">
        <v>966</v>
      </c>
      <c r="D184" s="8" t="str">
        <f t="shared" si="1"/>
        <v>david.vargas77@company.com</v>
      </c>
      <c r="G184" s="8" t="str">
        <f t="shared" si="2"/>
        <v>Unique</v>
      </c>
      <c r="I184" s="8" t="str">
        <f>IFERROR(__xludf.DUMMYFUNCTION("IF(C184="""",""Missing"",IF(REGEXMATCH(C184,""^[^@\s]+@[^@\s]+\.[^@\s]+$""),""Valid"",""Invalid""))"),"Valid")</f>
        <v>Valid</v>
      </c>
      <c r="J184" s="12" t="s">
        <v>967</v>
      </c>
      <c r="K184" s="12" t="s">
        <v>944</v>
      </c>
      <c r="L184" s="12" t="s">
        <v>126</v>
      </c>
      <c r="M184" s="8" t="str">
        <f t="shared" si="3"/>
        <v>Peru</v>
      </c>
      <c r="N184" s="12" t="s">
        <v>133</v>
      </c>
      <c r="O184" s="12" t="s">
        <v>40</v>
      </c>
      <c r="P184" s="12" t="s">
        <v>77</v>
      </c>
      <c r="Q184" s="8" t="str">
        <f t="shared" si="4"/>
        <v>Proposal Sent</v>
      </c>
      <c r="R184" s="16">
        <v>750.0</v>
      </c>
      <c r="S184" s="17">
        <v>46229.0</v>
      </c>
      <c r="T184" s="17">
        <v>46257.0</v>
      </c>
      <c r="U184" s="8" t="s">
        <v>95</v>
      </c>
    </row>
    <row r="185" ht="15.75" customHeight="1">
      <c r="A185" s="12" t="s">
        <v>968</v>
      </c>
      <c r="B185" s="12" t="s">
        <v>969</v>
      </c>
      <c r="C185" s="13" t="s">
        <v>970</v>
      </c>
      <c r="D185" s="8" t="str">
        <f t="shared" si="1"/>
        <v>diego.castro2@outlook.com</v>
      </c>
      <c r="G185" s="8" t="str">
        <f t="shared" si="2"/>
        <v>Unique</v>
      </c>
      <c r="I185" s="8" t="str">
        <f>IFERROR(__xludf.DUMMYFUNCTION("IF(C185="""",""Missing"",IF(REGEXMATCH(C185,""^[^@\s]+@[^@\s]+\.[^@\s]+$""),""Valid"",""Invalid""))"),"Valid")</f>
        <v>Valid</v>
      </c>
      <c r="J185" s="12" t="s">
        <v>972</v>
      </c>
      <c r="K185" s="12" t="s">
        <v>973</v>
      </c>
      <c r="L185" s="12" t="s">
        <v>38</v>
      </c>
      <c r="M185" s="8" t="str">
        <f t="shared" si="3"/>
        <v>Chile</v>
      </c>
      <c r="N185" s="12" t="s">
        <v>133</v>
      </c>
      <c r="O185" s="12" t="s">
        <v>76</v>
      </c>
      <c r="P185" s="12" t="s">
        <v>134</v>
      </c>
      <c r="Q185" s="8" t="str">
        <f t="shared" si="4"/>
        <v>Qualified</v>
      </c>
      <c r="R185" s="16">
        <v>350.0</v>
      </c>
      <c r="S185" s="17">
        <v>46220.0</v>
      </c>
      <c r="T185" s="17">
        <v>46253.0</v>
      </c>
      <c r="U185" s="8" t="s">
        <v>95</v>
      </c>
    </row>
    <row r="186" ht="15.75" customHeight="1">
      <c r="A186" s="12" t="s">
        <v>975</v>
      </c>
      <c r="B186" s="12" t="s">
        <v>976</v>
      </c>
      <c r="C186" s="13" t="s">
        <v>977</v>
      </c>
      <c r="D186" s="8" t="str">
        <f t="shared" si="1"/>
        <v>lucia.castro29@gmail.com</v>
      </c>
      <c r="G186" s="8" t="str">
        <f t="shared" si="2"/>
        <v>Unique</v>
      </c>
      <c r="I186" s="8" t="str">
        <f>IFERROR(__xludf.DUMMYFUNCTION("IF(C186="""",""Missing"",IF(REGEXMATCH(C186,""^[^@\s]+@[^@\s]+\.[^@\s]+$""),""Valid"",""Invalid""))"),"Valid")</f>
        <v>Valid</v>
      </c>
      <c r="J186" s="12" t="s">
        <v>978</v>
      </c>
      <c r="K186" s="12" t="s">
        <v>897</v>
      </c>
      <c r="L186" s="12" t="s">
        <v>168</v>
      </c>
      <c r="M186" s="8" t="str">
        <f t="shared" si="3"/>
        <v>Argentina</v>
      </c>
      <c r="N186" s="12" t="s">
        <v>57</v>
      </c>
      <c r="O186" s="12" t="s">
        <v>217</v>
      </c>
      <c r="P186" s="12" t="s">
        <v>304</v>
      </c>
      <c r="Q186" s="8" t="str">
        <f t="shared" si="4"/>
        <v>Qualified</v>
      </c>
      <c r="R186" s="16">
        <v>350.0</v>
      </c>
      <c r="S186" s="17">
        <v>46034.0</v>
      </c>
      <c r="T186" s="17">
        <v>46072.0</v>
      </c>
      <c r="U186" s="8" t="s">
        <v>66</v>
      </c>
    </row>
    <row r="187" ht="15.75" customHeight="1">
      <c r="A187" s="12" t="s">
        <v>979</v>
      </c>
      <c r="B187" s="12" t="s">
        <v>980</v>
      </c>
      <c r="C187" s="52" t="s">
        <v>981</v>
      </c>
      <c r="D187" s="8" t="str">
        <f t="shared" si="1"/>
        <v>luis.lopez31@mail</v>
      </c>
      <c r="E187" s="53" t="s">
        <v>662</v>
      </c>
      <c r="F187" s="53"/>
      <c r="G187" s="8" t="str">
        <f t="shared" si="2"/>
        <v>Unique</v>
      </c>
      <c r="I187" s="8" t="str">
        <f>IFERROR(__xludf.DUMMYFUNCTION("IF(C187="""",""Missing"",IF(REGEXMATCH(C187,""^[^@\s]+@[^@\s]+\.[^@\s]+$""),""Valid"",""Invalid""))"),"Invalid")</f>
        <v>Invalid</v>
      </c>
      <c r="J187" s="12" t="s">
        <v>982</v>
      </c>
      <c r="K187" s="12" t="s">
        <v>983</v>
      </c>
      <c r="L187" s="12" t="s">
        <v>201</v>
      </c>
      <c r="M187" s="8" t="str">
        <f t="shared" si="3"/>
        <v>Mexico</v>
      </c>
      <c r="N187" s="12" t="s">
        <v>39</v>
      </c>
      <c r="O187" s="12" t="s">
        <v>28</v>
      </c>
      <c r="P187" s="12" t="s">
        <v>134</v>
      </c>
      <c r="Q187" s="8" t="str">
        <f t="shared" si="4"/>
        <v>Qualified</v>
      </c>
      <c r="R187" s="16">
        <v>2000.0</v>
      </c>
      <c r="S187" s="17">
        <v>46158.0</v>
      </c>
      <c r="T187" s="17">
        <v>46190.0</v>
      </c>
      <c r="U187" s="8" t="s">
        <v>107</v>
      </c>
    </row>
    <row r="188" ht="15.75" customHeight="1">
      <c r="A188" s="12" t="s">
        <v>984</v>
      </c>
      <c r="B188" s="12" t="s">
        <v>881</v>
      </c>
      <c r="C188" s="13" t="s">
        <v>985</v>
      </c>
      <c r="D188" s="8" t="str">
        <f t="shared" si="1"/>
        <v>raul.perez66@mail.com</v>
      </c>
      <c r="G188" s="8" t="str">
        <f t="shared" si="2"/>
        <v>Unique</v>
      </c>
      <c r="I188" s="8" t="str">
        <f>IFERROR(__xludf.DUMMYFUNCTION("IF(C188="""",""Missing"",IF(REGEXMATCH(C188,""^[^@\s]+@[^@\s]+\.[^@\s]+$""),""Valid"",""Invalid""))"),"Valid")</f>
        <v>Valid</v>
      </c>
      <c r="J188" s="12"/>
      <c r="K188" s="12" t="s">
        <v>973</v>
      </c>
      <c r="L188" s="12" t="s">
        <v>283</v>
      </c>
      <c r="M188" s="8" t="str">
        <f t="shared" si="3"/>
        <v>Colombia</v>
      </c>
      <c r="N188" s="12" t="s">
        <v>133</v>
      </c>
      <c r="O188" s="12" t="s">
        <v>40</v>
      </c>
      <c r="P188" s="12" t="s">
        <v>50</v>
      </c>
      <c r="Q188" s="8" t="str">
        <f t="shared" si="4"/>
        <v>New</v>
      </c>
      <c r="R188" s="16">
        <v>350.0</v>
      </c>
      <c r="S188" s="17">
        <v>46154.0</v>
      </c>
      <c r="T188" s="17">
        <v>46180.0</v>
      </c>
    </row>
    <row r="189" ht="15.75" customHeight="1">
      <c r="A189" s="12" t="s">
        <v>986</v>
      </c>
      <c r="B189" s="12" t="s">
        <v>987</v>
      </c>
      <c r="C189" s="13" t="s">
        <v>988</v>
      </c>
      <c r="D189" s="8" t="str">
        <f t="shared" si="1"/>
        <v>elena.diaz46@gmail.com</v>
      </c>
      <c r="G189" s="8" t="str">
        <f t="shared" si="2"/>
        <v>Unique</v>
      </c>
      <c r="I189" s="8" t="str">
        <f>IFERROR(__xludf.DUMMYFUNCTION("IF(C189="""",""Missing"",IF(REGEXMATCH(C189,""^[^@\s]+@[^@\s]+\.[^@\s]+$""),""Valid"",""Invalid""))"),"Valid")</f>
        <v>Valid</v>
      </c>
      <c r="J189" s="12"/>
      <c r="K189" s="12" t="s">
        <v>325</v>
      </c>
      <c r="L189" s="12" t="s">
        <v>47</v>
      </c>
      <c r="M189" s="8" t="str">
        <f t="shared" si="3"/>
        <v>El Salvador</v>
      </c>
      <c r="N189" s="12" t="s">
        <v>27</v>
      </c>
      <c r="O189" s="12" t="s">
        <v>76</v>
      </c>
      <c r="P189" s="12" t="s">
        <v>577</v>
      </c>
      <c r="Q189" s="8" t="str">
        <f t="shared" si="4"/>
        <v>Contacted</v>
      </c>
      <c r="R189" s="16">
        <v>750.0</v>
      </c>
      <c r="S189" s="17">
        <v>46156.0</v>
      </c>
      <c r="T189" s="17">
        <v>46197.0</v>
      </c>
      <c r="U189" s="8" t="s">
        <v>41</v>
      </c>
    </row>
    <row r="190" ht="15.75" customHeight="1">
      <c r="A190" s="12" t="s">
        <v>989</v>
      </c>
      <c r="B190" s="12" t="s">
        <v>990</v>
      </c>
      <c r="C190" s="13" t="s">
        <v>991</v>
      </c>
      <c r="D190" s="8" t="str">
        <f t="shared" si="1"/>
        <v>miguel.martinez42@mail.com</v>
      </c>
      <c r="G190" s="8" t="str">
        <f t="shared" si="2"/>
        <v>Unique</v>
      </c>
      <c r="I190" s="8" t="str">
        <f>IFERROR(__xludf.DUMMYFUNCTION("IF(C190="""",""Missing"",IF(REGEXMATCH(C190,""^[^@\s]+@[^@\s]+\.[^@\s]+$""),""Valid"",""Invalid""))"),"Valid")</f>
        <v>Valid</v>
      </c>
      <c r="J190" s="12" t="s">
        <v>992</v>
      </c>
      <c r="K190" s="12" t="s">
        <v>325</v>
      </c>
      <c r="L190" s="12" t="s">
        <v>38</v>
      </c>
      <c r="M190" s="8" t="str">
        <f t="shared" si="3"/>
        <v>Chile</v>
      </c>
      <c r="N190" s="12" t="s">
        <v>106</v>
      </c>
      <c r="O190" s="12" t="s">
        <v>76</v>
      </c>
      <c r="P190" s="12" t="s">
        <v>134</v>
      </c>
      <c r="Q190" s="8" t="str">
        <f t="shared" si="4"/>
        <v>Qualified</v>
      </c>
      <c r="R190" s="16">
        <v>350.0</v>
      </c>
      <c r="S190" s="17">
        <v>46119.0</v>
      </c>
      <c r="T190" s="17">
        <v>46127.0</v>
      </c>
      <c r="U190" s="8" t="s">
        <v>66</v>
      </c>
    </row>
    <row r="191" ht="15.75" customHeight="1">
      <c r="A191" s="12" t="s">
        <v>993</v>
      </c>
      <c r="B191" s="12" t="s">
        <v>994</v>
      </c>
      <c r="C191" s="13" t="s">
        <v>995</v>
      </c>
      <c r="D191" s="8" t="str">
        <f t="shared" si="1"/>
        <v>lucia.rodriguez52@company.com</v>
      </c>
      <c r="G191" s="8" t="str">
        <f t="shared" si="2"/>
        <v>Unique</v>
      </c>
      <c r="I191" s="8" t="str">
        <f>IFERROR(__xludf.DUMMYFUNCTION("IF(C191="""",""Missing"",IF(REGEXMATCH(C191,""^[^@\s]+@[^@\s]+\.[^@\s]+$""),""Valid"",""Invalid""))"),"Valid")</f>
        <v>Valid</v>
      </c>
      <c r="J191" s="12" t="s">
        <v>996</v>
      </c>
      <c r="K191" s="12" t="s">
        <v>997</v>
      </c>
      <c r="L191" s="12" t="s">
        <v>26</v>
      </c>
      <c r="M191" s="8" t="str">
        <f t="shared" si="3"/>
        <v>Chile</v>
      </c>
      <c r="N191" s="12" t="s">
        <v>39</v>
      </c>
      <c r="O191" s="12" t="s">
        <v>76</v>
      </c>
      <c r="P191" s="12" t="s">
        <v>134</v>
      </c>
      <c r="Q191" s="8" t="str">
        <f t="shared" si="4"/>
        <v>Qualified</v>
      </c>
      <c r="R191" s="16">
        <v>1200.0</v>
      </c>
      <c r="S191" s="17">
        <v>46165.0</v>
      </c>
      <c r="T191" s="17">
        <v>46205.0</v>
      </c>
      <c r="U191" s="8" t="s">
        <v>107</v>
      </c>
    </row>
    <row r="192" ht="15.75" customHeight="1">
      <c r="A192" s="12" t="s">
        <v>998</v>
      </c>
      <c r="B192" s="12" t="s">
        <v>588</v>
      </c>
      <c r="C192" s="13" t="s">
        <v>999</v>
      </c>
      <c r="D192" s="8" t="str">
        <f t="shared" si="1"/>
        <v>patricia.martinez26@gmail.com</v>
      </c>
      <c r="G192" s="8" t="str">
        <f t="shared" si="2"/>
        <v>Duplicate</v>
      </c>
      <c r="H192" s="53" t="s">
        <v>69</v>
      </c>
      <c r="I192" s="8" t="str">
        <f>IFERROR(__xludf.DUMMYFUNCTION("IF(C192="""",""Missing"",IF(REGEXMATCH(C192,""^[^@\s]+@[^@\s]+\.[^@\s]+$""),""Valid"",""Invalid""))"),"Valid")</f>
        <v>Valid</v>
      </c>
      <c r="J192" s="12" t="s">
        <v>590</v>
      </c>
      <c r="K192" s="12" t="s">
        <v>591</v>
      </c>
      <c r="L192" s="12" t="s">
        <v>47</v>
      </c>
      <c r="M192" s="8" t="str">
        <f t="shared" si="3"/>
        <v>El Salvador</v>
      </c>
      <c r="N192" s="12" t="s">
        <v>57</v>
      </c>
      <c r="O192" s="12" t="s">
        <v>28</v>
      </c>
      <c r="P192" s="12" t="s">
        <v>29</v>
      </c>
      <c r="Q192" s="8" t="str">
        <f t="shared" si="4"/>
        <v>Contacted</v>
      </c>
      <c r="R192" s="16">
        <v>1200.0</v>
      </c>
      <c r="S192" s="17">
        <v>46232.0</v>
      </c>
      <c r="T192" s="17">
        <v>46254.0</v>
      </c>
    </row>
    <row r="193" ht="15.75" customHeight="1">
      <c r="A193" s="12" t="s">
        <v>961</v>
      </c>
      <c r="B193" s="12" t="s">
        <v>177</v>
      </c>
      <c r="C193" s="13" t="s">
        <v>963</v>
      </c>
      <c r="D193" s="8" t="str">
        <f t="shared" si="1"/>
        <v>paula.diaz25@outlook.com</v>
      </c>
      <c r="G193" s="8" t="str">
        <f t="shared" si="2"/>
        <v>Duplicate</v>
      </c>
      <c r="I193" s="8" t="str">
        <f>IFERROR(__xludf.DUMMYFUNCTION("IF(C193="""",""Missing"",IF(REGEXMATCH(C193,""^[^@\s]+@[^@\s]+\.[^@\s]+$""),""Valid"",""Invalid""))"),"Valid")</f>
        <v>Valid</v>
      </c>
      <c r="J193" s="12" t="s">
        <v>971</v>
      </c>
      <c r="K193" s="12" t="s">
        <v>974</v>
      </c>
      <c r="L193" s="12" t="s">
        <v>205</v>
      </c>
      <c r="M193" s="8" t="str">
        <f t="shared" si="3"/>
        <v>Chile</v>
      </c>
      <c r="N193" s="12" t="s">
        <v>133</v>
      </c>
      <c r="O193" s="12" t="s">
        <v>49</v>
      </c>
      <c r="P193" s="12" t="s">
        <v>65</v>
      </c>
      <c r="Q193" s="8" t="str">
        <f t="shared" si="4"/>
        <v>Won</v>
      </c>
      <c r="R193" s="16">
        <v>500.0</v>
      </c>
      <c r="S193" s="17">
        <v>46245.0</v>
      </c>
      <c r="T193" s="17">
        <v>46255.0</v>
      </c>
      <c r="U193" s="8" t="s">
        <v>30</v>
      </c>
      <c r="V193" s="4">
        <f>COUNTIF(G188:G387,"Duplicate")</f>
        <v>9</v>
      </c>
    </row>
    <row r="194" ht="15.75" customHeight="1">
      <c r="A194" s="12" t="s">
        <v>1000</v>
      </c>
      <c r="B194" s="12" t="s">
        <v>177</v>
      </c>
      <c r="C194" s="13" t="s">
        <v>963</v>
      </c>
      <c r="D194" s="8" t="str">
        <f t="shared" si="1"/>
        <v>paula.diaz25@outlook.com</v>
      </c>
      <c r="G194" s="8" t="str">
        <f t="shared" si="2"/>
        <v>Duplicate</v>
      </c>
      <c r="H194" s="53" t="s">
        <v>69</v>
      </c>
      <c r="I194" s="8" t="str">
        <f>IFERROR(__xludf.DUMMYFUNCTION("IF(C194="""",""Missing"",IF(REGEXMATCH(C194,""^[^@\s]+@[^@\s]+\.[^@\s]+$""),""Valid"",""Invalid""))"),"Valid")</f>
        <v>Valid</v>
      </c>
      <c r="J194" s="12" t="s">
        <v>971</v>
      </c>
      <c r="K194" s="12" t="s">
        <v>974</v>
      </c>
      <c r="L194" s="12" t="s">
        <v>205</v>
      </c>
      <c r="M194" s="8" t="str">
        <f t="shared" si="3"/>
        <v>Chile</v>
      </c>
      <c r="N194" s="12" t="s">
        <v>133</v>
      </c>
      <c r="O194" s="12" t="s">
        <v>49</v>
      </c>
      <c r="P194" s="12" t="s">
        <v>65</v>
      </c>
      <c r="Q194" s="8" t="str">
        <f t="shared" si="4"/>
        <v>Won</v>
      </c>
      <c r="R194" s="16">
        <v>500.0</v>
      </c>
      <c r="S194" s="17">
        <v>46245.0</v>
      </c>
      <c r="T194" s="17">
        <v>46255.0</v>
      </c>
      <c r="U194" s="8" t="s">
        <v>30</v>
      </c>
    </row>
    <row r="195" ht="15.75" customHeight="1">
      <c r="A195" s="12" t="s">
        <v>1001</v>
      </c>
      <c r="B195" s="12" t="s">
        <v>568</v>
      </c>
      <c r="C195" s="13" t="s">
        <v>1002</v>
      </c>
      <c r="D195" s="8" t="str">
        <f t="shared" si="1"/>
        <v>sergio.gomez90@outlook.com</v>
      </c>
      <c r="G195" s="8" t="str">
        <f t="shared" si="2"/>
        <v>Duplicate</v>
      </c>
      <c r="I195" s="8" t="str">
        <f>IFERROR(__xludf.DUMMYFUNCTION("IF(C195="""",""Missing"",IF(REGEXMATCH(C195,""^[^@\s]+@[^@\s]+\.[^@\s]+$""),""Valid"",""Invalid""))"),"Valid")</f>
        <v>Valid</v>
      </c>
      <c r="J195" s="12" t="s">
        <v>1003</v>
      </c>
      <c r="K195" s="12" t="s">
        <v>173</v>
      </c>
      <c r="L195" s="12" t="s">
        <v>168</v>
      </c>
      <c r="M195" s="8" t="str">
        <f t="shared" si="3"/>
        <v>Argentina</v>
      </c>
      <c r="N195" s="12" t="s">
        <v>133</v>
      </c>
      <c r="O195" s="12" t="s">
        <v>28</v>
      </c>
      <c r="P195" s="12" t="s">
        <v>65</v>
      </c>
      <c r="Q195" s="8" t="str">
        <f t="shared" si="4"/>
        <v>Won</v>
      </c>
      <c r="R195" s="16">
        <v>2500.0</v>
      </c>
      <c r="S195" s="17">
        <v>46209.0</v>
      </c>
      <c r="T195" s="17">
        <v>46233.0</v>
      </c>
    </row>
    <row r="196" ht="15.75" customHeight="1">
      <c r="A196" s="12" t="s">
        <v>1004</v>
      </c>
      <c r="B196" s="12" t="s">
        <v>568</v>
      </c>
      <c r="C196" s="13" t="s">
        <v>1002</v>
      </c>
      <c r="D196" s="8" t="str">
        <f t="shared" si="1"/>
        <v>sergio.gomez90@outlook.com</v>
      </c>
      <c r="G196" s="8" t="str">
        <f t="shared" si="2"/>
        <v>Duplicate</v>
      </c>
      <c r="H196" s="53" t="s">
        <v>69</v>
      </c>
      <c r="I196" s="8" t="str">
        <f>IFERROR(__xludf.DUMMYFUNCTION("IF(C196="""",""Missing"",IF(REGEXMATCH(C196,""^[^@\s]+@[^@\s]+\.[^@\s]+$""),""Valid"",""Invalid""))"),"Valid")</f>
        <v>Valid</v>
      </c>
      <c r="J196" s="12" t="s">
        <v>1003</v>
      </c>
      <c r="K196" s="12" t="s">
        <v>173</v>
      </c>
      <c r="L196" s="12" t="s">
        <v>168</v>
      </c>
      <c r="M196" s="8" t="str">
        <f t="shared" si="3"/>
        <v>Argentina</v>
      </c>
      <c r="N196" s="12" t="s">
        <v>133</v>
      </c>
      <c r="O196" s="12" t="s">
        <v>28</v>
      </c>
      <c r="P196" s="12" t="s">
        <v>65</v>
      </c>
      <c r="Q196" s="8" t="str">
        <f t="shared" si="4"/>
        <v>Won</v>
      </c>
      <c r="R196" s="16">
        <v>2500.0</v>
      </c>
      <c r="S196" s="17">
        <v>46209.0</v>
      </c>
      <c r="T196" s="17">
        <v>46233.0</v>
      </c>
    </row>
    <row r="197" ht="15.75" customHeight="1">
      <c r="A197" s="12" t="s">
        <v>1005</v>
      </c>
      <c r="B197" s="12" t="s">
        <v>1006</v>
      </c>
      <c r="C197" s="52"/>
      <c r="D197" s="8" t="str">
        <f t="shared" si="1"/>
        <v/>
      </c>
      <c r="G197" s="8" t="str">
        <f t="shared" si="2"/>
        <v>Missing Email</v>
      </c>
      <c r="I197" s="8" t="str">
        <f>IFERROR(__xludf.DUMMYFUNCTION("IF(C197="""",""Missing"",IF(REGEXMATCH(C197,""^[^@\s]+@[^@\s]+\.[^@\s]+$""),""Valid"",""Invalid""))"),"Missing")</f>
        <v>Missing</v>
      </c>
      <c r="J197" s="12" t="s">
        <v>580</v>
      </c>
      <c r="K197" s="12" t="s">
        <v>581</v>
      </c>
      <c r="L197" s="12" t="s">
        <v>582</v>
      </c>
      <c r="M197" s="8" t="str">
        <f t="shared" si="3"/>
        <v>Spain</v>
      </c>
      <c r="N197" s="12" t="s">
        <v>57</v>
      </c>
      <c r="O197" s="12" t="s">
        <v>76</v>
      </c>
      <c r="P197" s="12" t="s">
        <v>77</v>
      </c>
      <c r="Q197" s="8" t="str">
        <f t="shared" si="4"/>
        <v>Proposal Sent</v>
      </c>
      <c r="R197" s="16">
        <v>2000.0</v>
      </c>
      <c r="S197" s="17">
        <v>46041.0</v>
      </c>
      <c r="T197" s="17">
        <v>46061.0</v>
      </c>
      <c r="U197" s="8" t="s">
        <v>66</v>
      </c>
    </row>
    <row r="198" ht="15.75" customHeight="1">
      <c r="A198" s="12" t="s">
        <v>253</v>
      </c>
      <c r="B198" s="12" t="s">
        <v>257</v>
      </c>
      <c r="C198" s="13" t="s">
        <v>260</v>
      </c>
      <c r="D198" s="8" t="str">
        <f t="shared" si="1"/>
        <v>valeria.rivera98@outlook.com</v>
      </c>
      <c r="G198" s="8" t="str">
        <f t="shared" si="2"/>
        <v>Duplicate</v>
      </c>
      <c r="I198" s="8" t="str">
        <f>IFERROR(__xludf.DUMMYFUNCTION("IF(C198="""",""Missing"",IF(REGEXMATCH(C198,""^[^@\s]+@[^@\s]+\.[^@\s]+$""),""Valid"",""Invalid""))"),"Valid")</f>
        <v>Valid</v>
      </c>
      <c r="J198" s="12" t="s">
        <v>271</v>
      </c>
      <c r="K198" s="12" t="s">
        <v>272</v>
      </c>
      <c r="L198" s="12" t="s">
        <v>120</v>
      </c>
      <c r="M198" s="8" t="str">
        <f t="shared" si="3"/>
        <v>United States</v>
      </c>
      <c r="N198" s="12" t="s">
        <v>57</v>
      </c>
      <c r="O198" s="12" t="s">
        <v>40</v>
      </c>
      <c r="P198" s="12" t="s">
        <v>50</v>
      </c>
      <c r="Q198" s="8" t="str">
        <f t="shared" si="4"/>
        <v>New</v>
      </c>
      <c r="R198" s="16">
        <v>1200.0</v>
      </c>
      <c r="S198" s="17">
        <v>46263.0</v>
      </c>
      <c r="T198" s="17">
        <v>46304.0</v>
      </c>
      <c r="U198" s="8" t="s">
        <v>95</v>
      </c>
      <c r="V198" s="4">
        <f>IFERROR(__xludf.DUMMYFUNCTION("COUNTA(D197:D396)-COUNTA(UNIQUE(FILTER(D197:D396,D197:D396&lt;&gt;"""")))"),3.0)</f>
        <v>3</v>
      </c>
    </row>
    <row r="199" ht="15.75" customHeight="1">
      <c r="A199" s="12" t="s">
        <v>1007</v>
      </c>
      <c r="B199" s="12" t="s">
        <v>1008</v>
      </c>
      <c r="C199" s="13" t="s">
        <v>260</v>
      </c>
      <c r="D199" s="8" t="str">
        <f t="shared" si="1"/>
        <v>valeria.rivera98@outlook.com</v>
      </c>
      <c r="G199" s="8" t="str">
        <f t="shared" si="2"/>
        <v>Duplicate</v>
      </c>
      <c r="H199" s="53" t="s">
        <v>69</v>
      </c>
      <c r="I199" s="8" t="str">
        <f>IFERROR(__xludf.DUMMYFUNCTION("IF(C199="""",""Missing"",IF(REGEXMATCH(C199,""^[^@\s]+@[^@\s]+\.[^@\s]+$""),""Valid"",""Invalid""))"),"Valid")</f>
        <v>Valid</v>
      </c>
      <c r="J199" s="12" t="s">
        <v>271</v>
      </c>
      <c r="K199" s="12" t="s">
        <v>272</v>
      </c>
      <c r="L199" s="12" t="s">
        <v>120</v>
      </c>
      <c r="M199" s="8" t="str">
        <f t="shared" si="3"/>
        <v>United States</v>
      </c>
      <c r="N199" s="12" t="s">
        <v>57</v>
      </c>
      <c r="O199" s="12" t="s">
        <v>40</v>
      </c>
      <c r="P199" s="12" t="s">
        <v>50</v>
      </c>
      <c r="Q199" s="8" t="str">
        <f t="shared" si="4"/>
        <v>New</v>
      </c>
      <c r="R199" s="16">
        <v>1200.0</v>
      </c>
      <c r="S199" s="17">
        <v>46263.0</v>
      </c>
      <c r="T199" s="17">
        <v>46304.0</v>
      </c>
      <c r="U199" s="8" t="s">
        <v>95</v>
      </c>
    </row>
    <row r="200" ht="15.75" customHeight="1">
      <c r="A200" s="12" t="s">
        <v>1009</v>
      </c>
      <c r="B200" s="12" t="s">
        <v>1010</v>
      </c>
      <c r="C200" s="13" t="s">
        <v>1011</v>
      </c>
      <c r="D200" s="8" t="str">
        <f t="shared" si="1"/>
        <v>valeria.romero51@mail.com</v>
      </c>
      <c r="G200" s="8" t="str">
        <f t="shared" si="2"/>
        <v>Duplicate</v>
      </c>
      <c r="I200" s="8" t="str">
        <f>IFERROR(__xludf.DUMMYFUNCTION("IF(C200="""",""Missing"",IF(REGEXMATCH(C200,""^[^@\s]+@[^@\s]+\.[^@\s]+$""),""Valid"",""Invalid""))"),"Valid")</f>
        <v>Valid</v>
      </c>
      <c r="J200" s="12" t="s">
        <v>1012</v>
      </c>
      <c r="K200" s="12" t="s">
        <v>1013</v>
      </c>
      <c r="L200" s="12" t="s">
        <v>201</v>
      </c>
      <c r="M200" s="8" t="str">
        <f t="shared" si="3"/>
        <v>Mexico</v>
      </c>
      <c r="N200" s="12" t="s">
        <v>57</v>
      </c>
      <c r="O200" s="12" t="s">
        <v>76</v>
      </c>
      <c r="P200" s="12" t="s">
        <v>50</v>
      </c>
      <c r="R200" s="16">
        <v>3000.0</v>
      </c>
      <c r="S200" s="17">
        <v>46045.0</v>
      </c>
      <c r="T200" s="17">
        <v>46073.0</v>
      </c>
      <c r="U200" s="8" t="s">
        <v>95</v>
      </c>
    </row>
    <row r="201" ht="15.75" customHeight="1">
      <c r="A201" s="12" t="s">
        <v>1014</v>
      </c>
      <c r="B201" s="12" t="s">
        <v>1015</v>
      </c>
      <c r="C201" s="13" t="s">
        <v>1011</v>
      </c>
      <c r="D201" s="8" t="str">
        <f t="shared" si="1"/>
        <v>valeria.romero51@mail.com</v>
      </c>
      <c r="G201" s="8" t="str">
        <f t="shared" si="2"/>
        <v>Duplicate</v>
      </c>
      <c r="H201" s="53" t="s">
        <v>69</v>
      </c>
      <c r="I201" s="8" t="str">
        <f>IFERROR(__xludf.DUMMYFUNCTION("IF(C201="""",""Missing"",IF(REGEXMATCH(C201,""^[^@\s]+@[^@\s]+\.[^@\s]+$""),""Valid"",""Invalid""))"),"Valid")</f>
        <v>Valid</v>
      </c>
      <c r="J201" s="12" t="s">
        <v>1012</v>
      </c>
      <c r="K201" s="12" t="s">
        <v>1013</v>
      </c>
      <c r="L201" s="12" t="s">
        <v>201</v>
      </c>
      <c r="M201" s="8" t="str">
        <f t="shared" si="3"/>
        <v>Mexico</v>
      </c>
      <c r="N201" s="12" t="s">
        <v>57</v>
      </c>
      <c r="O201" s="12" t="s">
        <v>76</v>
      </c>
      <c r="P201" s="12" t="s">
        <v>50</v>
      </c>
      <c r="R201" s="16">
        <v>3000.0</v>
      </c>
      <c r="S201" s="17">
        <v>46045.0</v>
      </c>
      <c r="T201" s="17">
        <v>46073.0</v>
      </c>
      <c r="U201" s="8" t="s">
        <v>95</v>
      </c>
    </row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C2:C201 F163">
    <cfRule type="expression" dxfId="5" priority="1">
      <formula>AND(C2&lt;&gt;"",COUNTIF($C$2:$C$201,C2)&gt;1)</formula>
    </cfRule>
  </conditionalFormatting>
  <conditionalFormatting sqref="D2:I201">
    <cfRule type="expression" dxfId="6" priority="2">
      <formula>AND(D2&lt;&gt;"",COUNTIF($D$2:$D$201,D2)&gt;1)</formula>
    </cfRule>
  </conditionalFormatting>
  <dataValidations>
    <dataValidation type="list" allowBlank="1" showDropDown="1" showErrorMessage="1" sqref="N2:N201">
      <formula1>"Organic Search,Instagram,Referral,Website,LinkedIn,Facebook"</formula1>
    </dataValidation>
    <dataValidation type="list" allowBlank="1" showDropDown="1" showErrorMessage="1" sqref="P2:P201">
      <formula1>"Contacted,New,Lost,Won,Proposal Sent,Qualified,qualified ,new,CONTACTED,Proposal"</formula1>
    </dataValidation>
    <dataValidation type="list" allowBlank="1" showDropDown="1" showErrorMessage="1" sqref="L2:L201">
      <formula1>"CHILE,Chile,El Salvador,ARGENTINA,peru,U.S.A.,spain,el salvador,United States,PERU,Argentina,Perú,EL SALVADOR,united states,argentina,colombia,Peru,Mexico,chile,México,Salvador,COLOMBIA,Colombia,MEXICO,Spain,US,USA,SPAIN,mexico,España,Espana"</formula1>
    </dataValidation>
    <dataValidation type="list" allowBlank="1" showDropDown="1" showErrorMessage="1" sqref="B2:B201">
      <formula1>"Alejandro Navarro,Camila González,Carlos Navarro,María González,Carolina Navarro,María Rivera,Camila Torres,Miguel Rodríguez,Manuel López,Patricia Pérez,  Andrés Martínez  ,natalia ortiz, Camila Torres ,  Sergio Ortiz  ,Javier Díaz,Javier Martínez,Isabel "&amp;"Gómez,Luis Rodríguez,Natalia Díaz,Daniel Flores,Carlos Pérez,Raúl Hernández,Sergio Hernández,Paula Díaz,Diego García,Daniel Pérez,Fernando Morales,Alejandro Torres,Alejandro Ramírez,Raúl Rodríguez,Diego Navarro,Andrés Sánchez,Manuel Morales,Alejandro Sánc"&amp;"hez,Patricia Díaz,David Torres,Fernando Romero,Fernando Rivera,Isabel Ortiz,Lucía Sánchez,Carolina Flores,Sofía Morales,María Ortiz,natalia sánchez,Camila Díaz,Sofía Vargas,Luis Flores, Carlos Pérez ,Lucía García,María Sánchez,Patricia Rodríguez,Natalia R"&amp;"odríguez,María Rodríguez,Ricardo Morales,Patricia Castro,Andrés Morales,Fernando Díaz,José Gómez,Javier Flores,Isabel Hernández,Paula Castro,Carlos López,elena torres,Camila Hernández,Elena Vargas,Andrés Gómez,Laura Martínez,David Ortiz,RICARDO LÓPEZ,Caro"&amp;"lina Ortiz,Fernando Ramírez,  Marta Rivera  ,Isabel Rivera,Sergio García,Manuel Rodríguez,David Rodríguez,Daniel Díaz,Luis Morales,Ana García,Carlos Martínez,Laura Gómez,Isabel González,Laura Rivera,Ana Flores,Valeria Castro,LUIS GONZÁLEZ,David González,C"&amp;"arolina García,Sergio Gómez,SERGIO NAVARRO,Javier Navarro,CAROLINA NAVARRO,PATRICIA MARTÍNEZ,David Navarro,Patricia Vargas,Ana López,Valeria García,Manuel Castro,Miguel Castro,Ana Hernández,miguel ramírez,Alejandro Morales,David Flores,Ana Ortiz,Paula Lóp"&amp;"ez,  Carolina Rivera  ,Andrés González,Manuel Vargas,Raúl Vargas,Luis Hernández,  Lucía Vargas  ,Lucía Díaz,Daniel Gómez,Elena Morales,Diego Hernández,Sofía López,SOFÍA DÍAZ,Paula Flores,Manuel Rivera,David Sánchez,José Martínez,Raúl Sánchez,  Paula Castr"&amp;"o  ,MIGUEL LÓPEZ,Carlos Morales,María Morales,LUCÍA ORTIZ,Fernando Flores,manuel rodríguez,Daniel Sánchez,Ricardo Torres,Lucía Flores,Gabriela Ramírez,José Castro,Andrés Romero,LUIS FLORES,David Romero,manuel gómez,Laura Torres,Daniel Ramírez,Manuel Martí"&amp;"nez,Miguel Sánchez,Raúl Pérez,Lucía Romero,ALEJANDRO GONZÁLEZ,Andrés Castro,Manuel Sánchez,Ana Castro,Patricia Rivera,Valeria Vargas,Isabel Castro,Fernando Vargas,maría gómez,Carlos Hernández,Sergio Sánchez,Paula García,Isabel Torres,Luis Romero,Javier Va"&amp;"rgas,david vargas,Diego Castro,Lucía Castro,Luis López,Elena Díaz,Miguel Martínez,Lucía Rodríguez, Javier Navarro ,Valeria Rivera, Valeria Rivera ,Valeria Romero, Valeria Romero "</formula1>
    </dataValidation>
    <dataValidation type="list" allowBlank="1" showDropDown="1" showErrorMessage="1" sqref="J2:J201">
      <formula1>"201539268,+56-124965231,+503 23813586,+54 8433709892,+51 696 199 746,+1 2474157676,+503 70533950,2859040010,+34-105504239,+54-2437252546,+54-2332522808,+1-8301135501,425439667,2133177044,825136069,+51 380 353 771,+503 574 493 38,61320024,+1-3771357664,123"&amp;"9353409,+57 299 254 3784,2309827434,+54 5898158879,+52 0203959259,+52-8554682838,+1-4772755215,881839487,+57 406 830 4098,+503 323 170 50,+56 625 147 716,5161885601,+57 1778362014,+51 652057098,+503 311 113 05,+1-3605265298,+56-143908964,+57 270 603 6025,"&amp;"+57 999 972 1801,+57-5080060809,+56-890013966,+34 778 887 740,8211396692,+51 544 209 389,7847790960,+503 295 606 49,+54 3292373787,+52-0552303571,+57-4585022660,8183107855,+1 491 770 2629,+52 048 187 9725,+54-6433136248,+56 985 264 358,2168233908,+51-5159"&amp;"90381,+56 514 763 909,+503-99090473,+54 2159575470,+503 26678694,921879441,+1-5336844149,+503-79101013,333427070,+57-4518781347,+1 968 359 4750,7562423315,02459593,7665420309,+54 837 455 6123,8070743004,+34 276297111,+1-7651379288,+56-709672057,+1-7323032"&amp;"338,9371595864,+34-414454779,+52 361 107 5819,+51-104165797,+56 951667994,+34 745 616 412,105054787,848766383,+57 6534755042,4313534385,+34 813 084 667,+503 54250792,+503 09369254,+51 845774387,+503 275 304 17,+56 604 702 366,+1 698 088 2051,+52-829308112"&amp;"9,601867359,+34 617591710,+57 942 640 0471,+56 700683065,+1 337 473 7716,+503 570 829 54,+56 356 142 033,+1 463 450 0076,+34 940 882 859,+1 9561685659,+34 086 185 140,+56 226 129 038,+56 560 133 098,+34-790386715,+51 339 768 353,+1 635 410 9940,8567496328"&amp;",1957410267,+34-918285663,+503 81128520,082230988,+56-286970949,+54 245 100 6367,8882056262,+56 898 597 771,+52-6150366632,433147727,+51 736 271 433,1498890472,+57 2907151478,+57 538 154 3613,790258669,+1-8300585560,361739448,+51 164435378,+503-15737884,9"&amp;"325473404,68353660,+34-276910798,46816577,+34-888532093,+54-8088893920,+503-66191375,+51 551149129,+51-638299429,3521981237,2160990710,711204062,+57-2266782499,621229034,+54 875 785 3178,6208974456,+57 767 262 5339,+34-361067270,+51 717 127 847,+52 562183"&amp;"3852,+52-8071470510,+56 270488243,+1 1882359298,+1-7598255590,+1-4183584322,1298537478,+57 6334538656,607521611,+54-0643959911,+56 084924937,1171726132,+503 96814495,+503 89621861,4920159611,685508313,09409693,+1 4705038251,+51 216932765,+56 602 437 918,+"&amp;"54 8426880738,+52 7269446106,+56-315447407,+56-702963040,+56 510972174,3145091327,+1-5585000486,+52 0112761625"</formula1>
    </dataValidation>
    <dataValidation type="custom" allowBlank="1" showDropDown="1" sqref="S2:T201">
      <formula1>OR(NOT(ISERROR(DATEVALUE(S2))), AND(ISNUMBER(S2), LEFT(CELL("format", S2))="D"))</formula1>
    </dataValidation>
    <dataValidation type="list" allowBlank="1" showDropDown="1" showErrorMessage="1" sqref="A2:A201">
      <formula1>"ALM-0001,ALM-0072,ALM-0003,ALM-0004,ALM-0005,ALM-0191,ALM-0007,ALM-0014,ALM-0009,ALM-0010,ALM-0011,ALM-0012,ALM-0013,ALM-0200,ALM-0015,ALM-0016,ALM-0017,ALM-0018,ALM-0019,ALM-0020,ALM-0021,ALM-0060,ALM-0023,ALM-0024,ALM-0025,ALM-0026,ALM-0027,ALM-0028,ALM"&amp;"-0029,ALM-0030,ALM-0031,ALM-0032,ALM-0033,ALM-0034,ALM-0035,ALM-0036,ALM-0037,ALM-0038,ALM-0039,ALM-0040,ALM-0041,ALM-0042,ALM-0043,ALM-0044,ALM-0045,ALM-0046,ALM-0047,ALM-0048,ALM-0192,ALM-0050,ALM-0051,ALM-0052,ALM-0053,ALM-0054,ALM-0055,ALM-0056,ALM-00"&amp;"57,ALM-0058,ALM-0059,ALM-0100,ALM-0061,ALM-0062,ALM-0063,ALM-0064,ALM-0065,ALM-0066,ALM-0067,ALM-0068,ALM-0069,ALM-0070,ALM-0071,ALM-0197,ALM-0073,ALM-0074,ALM-0075,ALM-0076,ALM-0077,ALM-0078,ALM-0079,ALM-0080,ALM-0081,ALM-0082,ALM-0083,ALM-0084,ALM-0085,"&amp;"ALM-0086,ALM-0087,ALM-0088,ALM-0089,ALM-0090,ALM-0091,ALM-0092,ALM-0093,ALM-0094,ALM-0095,ALM-0096,ALM-0097,ALM-0098,ALM-0099,ALM-0008,ALM-0101,ALM-0102,ALM-0103,ALM-0104,ALM-0105,ALM-0106,ALM-0107,ALM-0108,ALM-0109,ALM-0110,ALM-0111,ALM-0112,ALM-0113,ALM"&amp;"-0114,ALM-0115,ALM-0116,ALM-0117,ALM-0118,ALM-0119,ALM-0120,ALM-0121,ALM-0122,ALM-0123,ALM-0124,ALM-0125,ALM-0126,ALM-0127,ALM-0128,ALM-0129,ALM-0130,ALM-0131,ALM-0132,ALM-0133,ALM-0134,ALM-0135,ALM-0136,ALM-0137,ALM-0138,ALM-0139,ALM-0140,ALM-0141,ALM-01"&amp;"42,ALM-0143,ALM-0144,ALM-0145,ALM-0146,ALM-0147,ALM-0148,ALM-0149,ALM-0150,ALM-0151,ALM-0152,ALM-0153,ALM-0154,ALM-0155,ALM-0156,ALM-0157,ALM-0158,ALM-0159,ALM-0160,ALM-0161,ALM-0162,ALM-0163,ALM-0164,ALM-0165,ALM-0166,ALM-0167,ALM-0168,ALM-0169,ALM-0170,"&amp;"ALM-0171,ALM-0172,ALM-0173,ALM-0174,ALM-0175,ALM-0176,ALM-0177,ALM-0178,ALM-0179,ALM-0180,ALM-0181,ALM-0182,ALM-0183,ALM-0184,ALM-0185,ALM-0186,ALM-0187,ALM-0188,ALM-0189,ALM-0190,ALM-0195,ALM-0006,ALM-0199,ALM-0022,ALM-0193,ALM-0196,ALM-0002,ALM-0194,ALM"&amp;"-0049,ALM-0198"</formula1>
    </dataValidation>
    <dataValidation type="custom" allowBlank="1" showDropDown="1" sqref="R2:R201">
      <formula1>AND(ISNUMBER(R2),(NOT(OR(NOT(ISERROR(DATEVALUE(R2))), AND(ISNUMBER(R2), LEFT(CELL("format", R2))="D")))))</formula1>
    </dataValidation>
    <dataValidation type="list" allowBlank="1" showDropDown="1" showErrorMessage="1" sqref="O2:O201">
      <formula1>"Document Processing,Workflow Automation,AI Voice Agent,Data Automation,Website Chat Agent"</formula1>
    </dataValidation>
    <dataValidation type="list" allowBlank="1" showDropDown="1" showErrorMessage="1" sqref="K2:K201">
      <formula1>"Apex Studio,Digital Labs,Momentum Services,Sol Partners, Bright Partners,CLOUD SOLUTIONS,Nova Commerce,Momentum Studio,Nexo Group,Apex Services,Sol Solutions,Vision Partners,Nova Partners,Apex Solutions,Apex Consulting,Atlas Consulting, Prime Group,Urban "&amp;"Commerce,Bright Works,Vertex Solutions,Sol Commerce,MOMENTUM SERVICES,Vision Services,Bright Solutions,Prime Labs,Cloud Commerce,Blue Studio,Blue Services,Urban Works,Sol Labs,Vertex Labs,Bright Commerce,Apex Labs,Momentum Works,Cloud Labs,Prime Media,Blu"&amp;"e Media,Green Services,Nexo Services,Momentum Solutions,Nexo Solutions,Vertex Services,Digital Media,Cloud Media,Nova Studio,Bright Services,Atlas Labs,Apex Group,Nova Group,Apex Partners,Vision Media,Prime Group,Bright Studio,Vision Commerce,Sol Works,Gr"&amp;"een Labs,Apex Commerce,Urban Solutions,Momentum Commerce,Digital Services,Blue Partners,Vision Consulting,Urban Consulting,Sol Media,Prime Studio,Green Works,Nexo Commerce,Momentum Group,Vertex Media,Nova Consulting,Vertex Consulting,Bright Media,Urban Me"&amp;"dia,Vision Solutions,Bright Labs,Nova Works,NOVA LABS, Momentum Works,Green Partners,Blue Group,BLUE GROUP, Nexo Works,Vision Studio,Urban Services,Atlas Commerce,Vision Labs,Prime Commerce,Sol Consulting,Nexo Labs,Green Consulting,Cloud Group,Vision Work"&amp;"s,Nova Services,Digital Group,Atlas Partners,Digital Partners,Momentum Partners,Cloud Partners,Prime Consulting,Green Solutions,Nova Labs,Blue Works,Blue Solutions,Nova Media,Nexo Studio,Blue Consulting,Vision Group,Prime Partners,Urban Labs,Bright Group,"&amp;"Green Commerce,Digital Studio,Green Studio,Nova Solutions"</formula1>
    </dataValidation>
  </dataValidations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9"/>
    <hyperlink r:id="rId28" ref="C30"/>
    <hyperlink r:id="rId29" ref="C31"/>
    <hyperlink r:id="rId30" ref="C32"/>
    <hyperlink r:id="rId31" ref="C33"/>
    <hyperlink r:id="rId32" ref="C34"/>
    <hyperlink r:id="rId33" ref="C35"/>
    <hyperlink r:id="rId34" ref="C36"/>
    <hyperlink r:id="rId35" ref="C37"/>
    <hyperlink r:id="rId36" ref="C38"/>
    <hyperlink r:id="rId37" ref="C39"/>
    <hyperlink r:id="rId38" ref="C40"/>
    <hyperlink r:id="rId39" ref="C41"/>
    <hyperlink r:id="rId40" ref="C43"/>
    <hyperlink r:id="rId41" ref="C44"/>
    <hyperlink r:id="rId42" ref="C45"/>
    <hyperlink r:id="rId43" ref="C46"/>
    <hyperlink r:id="rId44" ref="C47"/>
    <hyperlink r:id="rId45" ref="C48"/>
    <hyperlink r:id="rId46" ref="C49"/>
    <hyperlink r:id="rId47" ref="C50"/>
    <hyperlink r:id="rId48" ref="C51"/>
    <hyperlink r:id="rId49" ref="C52"/>
    <hyperlink r:id="rId50" ref="C53"/>
    <hyperlink r:id="rId51" ref="C54"/>
    <hyperlink r:id="rId52" ref="C55"/>
    <hyperlink r:id="rId53" ref="C56"/>
    <hyperlink r:id="rId54" ref="C57"/>
    <hyperlink r:id="rId55" ref="C58"/>
    <hyperlink r:id="rId56" ref="C59"/>
    <hyperlink r:id="rId57" ref="C60"/>
    <hyperlink r:id="rId58" ref="C61"/>
    <hyperlink r:id="rId59" ref="C63"/>
    <hyperlink r:id="rId60" ref="C64"/>
    <hyperlink r:id="rId61" ref="C66"/>
    <hyperlink r:id="rId62" ref="C67"/>
    <hyperlink r:id="rId63" ref="C68"/>
    <hyperlink r:id="rId64" ref="C69"/>
    <hyperlink r:id="rId65" ref="C70"/>
    <hyperlink r:id="rId66" ref="C71"/>
    <hyperlink r:id="rId67" ref="C72"/>
    <hyperlink r:id="rId68" ref="C73"/>
    <hyperlink r:id="rId69" ref="C74"/>
    <hyperlink r:id="rId70" ref="C75"/>
    <hyperlink r:id="rId71" ref="C76"/>
    <hyperlink r:id="rId72" ref="C77"/>
    <hyperlink r:id="rId73" ref="C78"/>
    <hyperlink r:id="rId74" ref="C79"/>
    <hyperlink r:id="rId75" ref="C80"/>
    <hyperlink r:id="rId76" ref="C81"/>
    <hyperlink r:id="rId77" ref="C82"/>
    <hyperlink r:id="rId78" ref="C83"/>
    <hyperlink r:id="rId79" ref="C84"/>
    <hyperlink r:id="rId80" ref="C85"/>
    <hyperlink r:id="rId81" ref="C87"/>
    <hyperlink r:id="rId82" ref="C88"/>
    <hyperlink r:id="rId83" ref="C89"/>
    <hyperlink r:id="rId84" ref="C90"/>
    <hyperlink r:id="rId85" ref="C91"/>
    <hyperlink r:id="rId86" ref="C92"/>
    <hyperlink r:id="rId87" ref="C93"/>
    <hyperlink r:id="rId88" ref="C94"/>
    <hyperlink r:id="rId89" ref="C95"/>
    <hyperlink r:id="rId90" ref="C96"/>
    <hyperlink r:id="rId91" ref="C97"/>
    <hyperlink r:id="rId92" ref="C98"/>
    <hyperlink r:id="rId93" ref="C100"/>
    <hyperlink r:id="rId94" ref="C101"/>
    <hyperlink r:id="rId95" ref="C102"/>
    <hyperlink r:id="rId96" ref="C103"/>
    <hyperlink r:id="rId97" ref="C104"/>
    <hyperlink r:id="rId98" ref="C105"/>
    <hyperlink r:id="rId99" ref="C106"/>
    <hyperlink r:id="rId100" ref="C107"/>
    <hyperlink r:id="rId101" ref="C108"/>
    <hyperlink r:id="rId102" ref="C109"/>
    <hyperlink r:id="rId103" ref="C110"/>
    <hyperlink r:id="rId104" ref="C111"/>
    <hyperlink r:id="rId105" ref="C112"/>
    <hyperlink r:id="rId106" ref="C113"/>
    <hyperlink r:id="rId107" ref="C114"/>
    <hyperlink r:id="rId108" ref="C116"/>
    <hyperlink r:id="rId109" ref="C117"/>
    <hyperlink r:id="rId110" ref="C118"/>
    <hyperlink r:id="rId111" ref="C119"/>
    <hyperlink r:id="rId112" ref="C120"/>
    <hyperlink r:id="rId113" ref="C121"/>
    <hyperlink r:id="rId114" ref="C122"/>
    <hyperlink r:id="rId115" ref="C123"/>
    <hyperlink r:id="rId116" ref="C124"/>
    <hyperlink r:id="rId117" ref="C126"/>
    <hyperlink r:id="rId118" ref="C127"/>
    <hyperlink r:id="rId119" ref="C128"/>
    <hyperlink r:id="rId120" ref="C129"/>
    <hyperlink r:id="rId121" ref="C130"/>
    <hyperlink r:id="rId122" ref="C131"/>
    <hyperlink r:id="rId123" ref="C132"/>
    <hyperlink r:id="rId124" ref="C133"/>
    <hyperlink r:id="rId125" ref="C134"/>
    <hyperlink r:id="rId126" ref="C135"/>
    <hyperlink r:id="rId127" ref="C136"/>
    <hyperlink r:id="rId128" ref="C137"/>
    <hyperlink r:id="rId129" ref="C138"/>
    <hyperlink r:id="rId130" ref="C139"/>
    <hyperlink r:id="rId131" ref="C141"/>
    <hyperlink r:id="rId132" ref="C142"/>
    <hyperlink r:id="rId133" ref="C143"/>
    <hyperlink r:id="rId134" ref="C144"/>
    <hyperlink r:id="rId135" ref="C145"/>
    <hyperlink r:id="rId136" ref="C148"/>
    <hyperlink r:id="rId137" ref="C149"/>
    <hyperlink r:id="rId138" ref="C150"/>
    <hyperlink r:id="rId139" ref="C151"/>
    <hyperlink r:id="rId140" ref="C152"/>
    <hyperlink r:id="rId141" ref="C153"/>
    <hyperlink r:id="rId142" ref="C154"/>
    <hyperlink r:id="rId143" ref="C155"/>
    <hyperlink r:id="rId144" ref="C156"/>
    <hyperlink r:id="rId145" ref="C157"/>
    <hyperlink r:id="rId146" ref="C158"/>
    <hyperlink r:id="rId147" ref="C159"/>
    <hyperlink r:id="rId148" ref="C160"/>
    <hyperlink r:id="rId149" ref="C161"/>
    <hyperlink r:id="rId150" ref="C162"/>
    <hyperlink r:id="rId151" ref="C164"/>
    <hyperlink r:id="rId152" ref="C165"/>
    <hyperlink r:id="rId153" ref="C166"/>
    <hyperlink r:id="rId154" ref="C167"/>
    <hyperlink r:id="rId155" ref="C168"/>
    <hyperlink r:id="rId156" ref="C169"/>
    <hyperlink r:id="rId157" ref="C170"/>
    <hyperlink r:id="rId158" ref="C171"/>
    <hyperlink r:id="rId159" ref="C172"/>
    <hyperlink r:id="rId160" ref="C174"/>
    <hyperlink r:id="rId161" ref="C175"/>
    <hyperlink r:id="rId162" ref="C176"/>
    <hyperlink r:id="rId163" ref="C177"/>
    <hyperlink r:id="rId164" ref="C178"/>
    <hyperlink r:id="rId165" ref="C179"/>
    <hyperlink r:id="rId166" ref="C180"/>
    <hyperlink r:id="rId167" ref="C181"/>
    <hyperlink r:id="rId168" ref="C182"/>
    <hyperlink r:id="rId169" ref="C183"/>
    <hyperlink r:id="rId170" ref="C184"/>
    <hyperlink r:id="rId171" ref="C185"/>
    <hyperlink r:id="rId172" ref="C186"/>
    <hyperlink r:id="rId173" ref="C188"/>
    <hyperlink r:id="rId174" ref="C189"/>
    <hyperlink r:id="rId175" ref="C190"/>
    <hyperlink r:id="rId176" ref="C191"/>
    <hyperlink r:id="rId177" ref="C192"/>
    <hyperlink r:id="rId178" ref="C193"/>
    <hyperlink r:id="rId179" ref="C194"/>
    <hyperlink r:id="rId180" ref="C195"/>
    <hyperlink r:id="rId181" ref="C196"/>
    <hyperlink r:id="rId182" ref="C198"/>
    <hyperlink r:id="rId183" ref="C199"/>
    <hyperlink r:id="rId184" ref="C200"/>
    <hyperlink r:id="rId185" ref="C201"/>
  </hyperlinks>
  <printOptions/>
  <pageMargins bottom="0.75" footer="0.0" header="0.0" left="0.7" right="0.7" top="0.75"/>
  <pageSetup orientation="landscape"/>
  <drawing r:id="rId186"/>
  <tableParts count="1">
    <tablePart r:id="rId188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6.5"/>
    <col customWidth="1" min="2" max="2" width="20.75"/>
    <col customWidth="1" min="3" max="3" width="31.63"/>
    <col customWidth="1" min="4" max="4" width="16.13"/>
    <col customWidth="1" min="5" max="5" width="19.13"/>
    <col customWidth="1" min="6" max="6" width="16.88"/>
    <col customWidth="1" min="7" max="7" width="22.38"/>
    <col customWidth="1" min="8" max="8" width="24.0"/>
    <col customWidth="1" min="9" max="9" width="22.5"/>
    <col customWidth="1" min="10" max="10" width="25.88"/>
    <col customWidth="1" min="11" max="11" width="24.63"/>
    <col customWidth="1" min="12" max="12" width="28.13"/>
    <col customWidth="1" min="13" max="13" width="22.13"/>
  </cols>
  <sheetData>
    <row r="1" ht="22.5" customHeight="1">
      <c r="A1" s="6" t="s">
        <v>749</v>
      </c>
      <c r="B1" s="6" t="s">
        <v>758</v>
      </c>
      <c r="C1" s="6" t="s">
        <v>2</v>
      </c>
      <c r="D1" s="6" t="s">
        <v>761</v>
      </c>
      <c r="E1" s="6" t="s">
        <v>762</v>
      </c>
      <c r="F1" s="6" t="s">
        <v>763</v>
      </c>
      <c r="G1" s="6" t="s">
        <v>766</v>
      </c>
      <c r="H1" s="6" t="s">
        <v>767</v>
      </c>
      <c r="I1" s="6" t="s">
        <v>770</v>
      </c>
      <c r="J1" s="6" t="s">
        <v>771</v>
      </c>
      <c r="K1" s="6" t="s">
        <v>775</v>
      </c>
      <c r="L1" s="6" t="s">
        <v>776</v>
      </c>
      <c r="M1" s="6" t="s">
        <v>777</v>
      </c>
    </row>
    <row r="2" ht="22.5" customHeight="1">
      <c r="A2" s="8" t="s">
        <v>21</v>
      </c>
      <c r="B2" s="8" t="s">
        <v>22</v>
      </c>
      <c r="C2" s="13" t="s">
        <v>23</v>
      </c>
      <c r="D2" s="8" t="s">
        <v>24</v>
      </c>
      <c r="E2" s="8" t="s">
        <v>25</v>
      </c>
      <c r="F2" s="12" t="s">
        <v>38</v>
      </c>
      <c r="G2" s="12" t="s">
        <v>27</v>
      </c>
      <c r="H2" s="12" t="s">
        <v>28</v>
      </c>
      <c r="I2" s="12" t="s">
        <v>29</v>
      </c>
      <c r="J2" s="14"/>
      <c r="K2" s="15">
        <v>46111.0</v>
      </c>
      <c r="L2" s="15">
        <v>46153.0</v>
      </c>
      <c r="M2" s="8" t="s">
        <v>30</v>
      </c>
    </row>
    <row r="3" ht="22.5" customHeight="1">
      <c r="A3" s="8" t="s">
        <v>33</v>
      </c>
      <c r="B3" s="8" t="s">
        <v>34</v>
      </c>
      <c r="C3" s="13" t="s">
        <v>35</v>
      </c>
      <c r="D3" s="8" t="s">
        <v>36</v>
      </c>
      <c r="E3" s="8" t="s">
        <v>37</v>
      </c>
      <c r="F3" s="12" t="s">
        <v>38</v>
      </c>
      <c r="G3" s="12" t="s">
        <v>39</v>
      </c>
      <c r="H3" s="12" t="s">
        <v>40</v>
      </c>
      <c r="I3" s="12" t="s">
        <v>29</v>
      </c>
      <c r="J3" s="14">
        <v>3000.0</v>
      </c>
      <c r="K3" s="15">
        <v>46088.0</v>
      </c>
      <c r="L3" s="15">
        <v>46113.0</v>
      </c>
      <c r="M3" s="8" t="s">
        <v>41</v>
      </c>
    </row>
    <row r="4" ht="22.5" customHeight="1">
      <c r="A4" s="8" t="s">
        <v>42</v>
      </c>
      <c r="B4" s="8" t="s">
        <v>43</v>
      </c>
      <c r="C4" s="13" t="s">
        <v>44</v>
      </c>
      <c r="D4" s="8" t="s">
        <v>45</v>
      </c>
      <c r="E4" s="8" t="s">
        <v>46</v>
      </c>
      <c r="F4" s="12" t="s">
        <v>47</v>
      </c>
      <c r="G4" s="12" t="s">
        <v>48</v>
      </c>
      <c r="H4" s="12" t="s">
        <v>49</v>
      </c>
      <c r="I4" s="12" t="s">
        <v>50</v>
      </c>
      <c r="J4" s="14">
        <v>500.0</v>
      </c>
      <c r="K4" s="15">
        <v>46101.0</v>
      </c>
      <c r="L4" s="15"/>
    </row>
    <row r="5" ht="22.5" customHeight="1">
      <c r="A5" s="8" t="s">
        <v>51</v>
      </c>
      <c r="B5" s="8" t="s">
        <v>52</v>
      </c>
      <c r="C5" s="13" t="s">
        <v>53</v>
      </c>
      <c r="D5" s="8" t="s">
        <v>54</v>
      </c>
      <c r="E5" s="8" t="s">
        <v>55</v>
      </c>
      <c r="F5" s="12" t="s">
        <v>132</v>
      </c>
      <c r="G5" s="12" t="s">
        <v>57</v>
      </c>
      <c r="H5" s="12" t="s">
        <v>49</v>
      </c>
      <c r="I5" s="12" t="s">
        <v>58</v>
      </c>
      <c r="J5" s="14">
        <v>1500.0</v>
      </c>
      <c r="K5" s="15">
        <v>46215.0</v>
      </c>
      <c r="L5" s="15">
        <v>46244.0</v>
      </c>
      <c r="M5" s="8" t="s">
        <v>30</v>
      </c>
    </row>
    <row r="6" ht="22.5" customHeight="1">
      <c r="A6" s="8" t="s">
        <v>59</v>
      </c>
      <c r="B6" s="8" t="s">
        <v>60</v>
      </c>
      <c r="C6" s="13" t="s">
        <v>61</v>
      </c>
      <c r="D6" s="8" t="s">
        <v>62</v>
      </c>
      <c r="E6" s="8" t="s">
        <v>63</v>
      </c>
      <c r="F6" s="12" t="s">
        <v>175</v>
      </c>
      <c r="G6" s="12" t="s">
        <v>48</v>
      </c>
      <c r="H6" s="12" t="s">
        <v>49</v>
      </c>
      <c r="I6" s="12" t="s">
        <v>65</v>
      </c>
      <c r="J6" s="14">
        <v>350.0</v>
      </c>
      <c r="K6" s="15">
        <v>46174.0</v>
      </c>
      <c r="L6" s="15">
        <v>46191.0</v>
      </c>
      <c r="M6" s="8" t="s">
        <v>66</v>
      </c>
    </row>
    <row r="7" ht="22.5" customHeight="1">
      <c r="A7" s="8" t="s">
        <v>70</v>
      </c>
      <c r="B7" s="8" t="s">
        <v>71</v>
      </c>
      <c r="C7" s="13" t="s">
        <v>72</v>
      </c>
      <c r="D7" s="8" t="s">
        <v>73</v>
      </c>
      <c r="E7" s="8" t="s">
        <v>74</v>
      </c>
      <c r="F7" s="12" t="s">
        <v>120</v>
      </c>
      <c r="G7" s="12" t="s">
        <v>39</v>
      </c>
      <c r="H7" s="12" t="s">
        <v>76</v>
      </c>
      <c r="I7" s="12" t="s">
        <v>77</v>
      </c>
      <c r="J7" s="14">
        <v>500.0</v>
      </c>
      <c r="K7" s="15">
        <v>46052.0</v>
      </c>
      <c r="L7" s="15">
        <v>46087.0</v>
      </c>
      <c r="M7" s="8" t="s">
        <v>41</v>
      </c>
    </row>
    <row r="8" ht="22.5" customHeight="1">
      <c r="A8" s="8" t="s">
        <v>79</v>
      </c>
      <c r="B8" s="8" t="s">
        <v>80</v>
      </c>
      <c r="C8" s="13" t="s">
        <v>81</v>
      </c>
      <c r="F8" s="12" t="s">
        <v>220</v>
      </c>
      <c r="G8" s="12" t="s">
        <v>57</v>
      </c>
      <c r="H8" s="12" t="s">
        <v>40</v>
      </c>
      <c r="I8" s="12" t="s">
        <v>77</v>
      </c>
      <c r="J8" s="14">
        <v>1500.0</v>
      </c>
      <c r="K8" s="15">
        <v>46030.0</v>
      </c>
      <c r="L8" s="15">
        <v>46043.0</v>
      </c>
      <c r="M8" s="8" t="s">
        <v>30</v>
      </c>
    </row>
    <row r="9" ht="22.5" customHeight="1">
      <c r="A9" s="8" t="s">
        <v>83</v>
      </c>
      <c r="B9" s="8" t="s">
        <v>84</v>
      </c>
      <c r="C9" s="13" t="s">
        <v>85</v>
      </c>
      <c r="D9" s="8" t="s">
        <v>86</v>
      </c>
      <c r="E9" s="8" t="s">
        <v>87</v>
      </c>
      <c r="F9" s="12" t="s">
        <v>47</v>
      </c>
      <c r="G9" s="12" t="s">
        <v>27</v>
      </c>
      <c r="H9" s="12" t="s">
        <v>28</v>
      </c>
      <c r="I9" s="12" t="s">
        <v>29</v>
      </c>
      <c r="J9" s="14">
        <v>1500.0</v>
      </c>
      <c r="K9" s="15">
        <v>46095.0</v>
      </c>
      <c r="L9" s="15">
        <v>46129.0</v>
      </c>
      <c r="M9" s="8" t="s">
        <v>41</v>
      </c>
    </row>
    <row r="10" ht="22.5" customHeight="1">
      <c r="A10" s="8" t="s">
        <v>90</v>
      </c>
      <c r="B10" s="8" t="s">
        <v>91</v>
      </c>
      <c r="C10" s="13" t="s">
        <v>92</v>
      </c>
      <c r="D10" s="8" t="s">
        <v>93</v>
      </c>
      <c r="E10" s="8" t="s">
        <v>94</v>
      </c>
      <c r="F10" s="12" t="s">
        <v>132</v>
      </c>
      <c r="G10" s="12" t="s">
        <v>57</v>
      </c>
      <c r="H10" s="12" t="s">
        <v>76</v>
      </c>
      <c r="I10" s="12" t="s">
        <v>77</v>
      </c>
      <c r="J10" s="14">
        <v>350.0</v>
      </c>
      <c r="K10" s="15">
        <v>46180.0</v>
      </c>
      <c r="L10" s="15">
        <v>46181.0</v>
      </c>
      <c r="M10" s="8" t="s">
        <v>95</v>
      </c>
    </row>
    <row r="11" ht="22.5" customHeight="1">
      <c r="A11" s="8" t="s">
        <v>96</v>
      </c>
      <c r="B11" s="8" t="s">
        <v>97</v>
      </c>
      <c r="C11" s="13" t="s">
        <v>98</v>
      </c>
      <c r="D11" s="8" t="s">
        <v>99</v>
      </c>
      <c r="E11" s="8" t="s">
        <v>100</v>
      </c>
      <c r="F11" s="12" t="s">
        <v>220</v>
      </c>
      <c r="G11" s="12" t="s">
        <v>57</v>
      </c>
      <c r="H11" s="12" t="s">
        <v>40</v>
      </c>
      <c r="I11" s="12" t="s">
        <v>77</v>
      </c>
      <c r="J11" s="14">
        <v>1200.0</v>
      </c>
      <c r="K11" s="15">
        <v>46160.0</v>
      </c>
      <c r="L11" s="15"/>
      <c r="M11" s="8" t="s">
        <v>66</v>
      </c>
    </row>
    <row r="12" ht="22.5" customHeight="1">
      <c r="A12" s="8" t="s">
        <v>101</v>
      </c>
      <c r="B12" s="8" t="s">
        <v>102</v>
      </c>
      <c r="C12" s="13" t="s">
        <v>103</v>
      </c>
      <c r="D12" s="8" t="s">
        <v>104</v>
      </c>
      <c r="E12" s="8" t="s">
        <v>105</v>
      </c>
      <c r="F12" s="12" t="s">
        <v>132</v>
      </c>
      <c r="G12" s="12" t="s">
        <v>106</v>
      </c>
      <c r="H12" s="12" t="s">
        <v>28</v>
      </c>
      <c r="I12" s="12" t="s">
        <v>58</v>
      </c>
      <c r="J12" s="14">
        <v>900.0</v>
      </c>
      <c r="K12" s="15">
        <v>46179.0</v>
      </c>
      <c r="L12" s="15">
        <v>46199.0</v>
      </c>
      <c r="M12" s="8" t="s">
        <v>107</v>
      </c>
    </row>
    <row r="13" ht="22.5" customHeight="1">
      <c r="A13" s="8" t="s">
        <v>108</v>
      </c>
      <c r="B13" s="8" t="s">
        <v>109</v>
      </c>
      <c r="C13" s="13" t="s">
        <v>110</v>
      </c>
      <c r="D13" s="8" t="s">
        <v>111</v>
      </c>
      <c r="E13" s="8" t="s">
        <v>112</v>
      </c>
      <c r="F13" s="12" t="s">
        <v>132</v>
      </c>
      <c r="G13" s="12" t="s">
        <v>106</v>
      </c>
      <c r="H13" s="12" t="s">
        <v>76</v>
      </c>
      <c r="I13" s="12" t="s">
        <v>65</v>
      </c>
      <c r="J13" s="14">
        <v>350.0</v>
      </c>
      <c r="K13" s="15">
        <v>46051.0</v>
      </c>
      <c r="L13" s="15">
        <v>46051.0</v>
      </c>
      <c r="M13" s="8" t="s">
        <v>107</v>
      </c>
    </row>
    <row r="14" ht="22.5" customHeight="1">
      <c r="A14" s="8" t="s">
        <v>115</v>
      </c>
      <c r="B14" s="8" t="s">
        <v>116</v>
      </c>
      <c r="C14" s="13" t="s">
        <v>117</v>
      </c>
      <c r="D14" s="8" t="s">
        <v>118</v>
      </c>
      <c r="E14" s="8" t="s">
        <v>119</v>
      </c>
      <c r="F14" s="12" t="s">
        <v>120</v>
      </c>
      <c r="G14" s="12" t="s">
        <v>57</v>
      </c>
      <c r="H14" s="12" t="s">
        <v>28</v>
      </c>
      <c r="I14" s="12" t="s">
        <v>50</v>
      </c>
      <c r="J14" s="14">
        <v>2500.0</v>
      </c>
      <c r="K14" s="15">
        <v>46070.0</v>
      </c>
      <c r="L14" s="15">
        <v>46081.0</v>
      </c>
      <c r="M14" s="8" t="s">
        <v>41</v>
      </c>
    </row>
    <row r="15" ht="22.5" customHeight="1">
      <c r="A15" s="8" t="s">
        <v>121</v>
      </c>
      <c r="B15" s="8" t="s">
        <v>122</v>
      </c>
      <c r="C15" s="13" t="s">
        <v>123</v>
      </c>
      <c r="D15" s="8" t="s">
        <v>124</v>
      </c>
      <c r="E15" s="8" t="s">
        <v>125</v>
      </c>
      <c r="F15" s="12" t="s">
        <v>175</v>
      </c>
      <c r="G15" s="12" t="s">
        <v>27</v>
      </c>
      <c r="H15" s="12" t="s">
        <v>28</v>
      </c>
      <c r="I15" s="12" t="s">
        <v>58</v>
      </c>
      <c r="J15" s="14">
        <v>350.0</v>
      </c>
      <c r="K15" s="15">
        <v>46137.0</v>
      </c>
      <c r="L15" s="15">
        <v>46175.0</v>
      </c>
      <c r="M15" s="8" t="s">
        <v>30</v>
      </c>
    </row>
    <row r="16" ht="22.5" customHeight="1">
      <c r="A16" s="8" t="s">
        <v>127</v>
      </c>
      <c r="B16" s="8" t="s">
        <v>128</v>
      </c>
      <c r="C16" s="13" t="s">
        <v>129</v>
      </c>
      <c r="D16" s="8" t="s">
        <v>130</v>
      </c>
      <c r="E16" s="8" t="s">
        <v>131</v>
      </c>
      <c r="F16" s="12" t="s">
        <v>132</v>
      </c>
      <c r="G16" s="12" t="s">
        <v>133</v>
      </c>
      <c r="H16" s="12" t="s">
        <v>28</v>
      </c>
      <c r="I16" s="12" t="s">
        <v>134</v>
      </c>
      <c r="J16" s="14">
        <v>2000.0</v>
      </c>
      <c r="K16" s="15">
        <v>46045.0</v>
      </c>
      <c r="L16" s="15">
        <v>46079.0</v>
      </c>
      <c r="M16" s="8" t="s">
        <v>41</v>
      </c>
    </row>
    <row r="17" ht="22.5" customHeight="1">
      <c r="A17" s="8" t="s">
        <v>135</v>
      </c>
      <c r="B17" s="8" t="s">
        <v>136</v>
      </c>
      <c r="C17" s="13" t="s">
        <v>137</v>
      </c>
      <c r="D17" s="8" t="s">
        <v>138</v>
      </c>
      <c r="E17" s="8" t="s">
        <v>139</v>
      </c>
      <c r="F17" s="12" t="s">
        <v>140</v>
      </c>
      <c r="G17" s="12" t="s">
        <v>57</v>
      </c>
      <c r="H17" s="12" t="s">
        <v>28</v>
      </c>
      <c r="I17" s="12" t="s">
        <v>58</v>
      </c>
      <c r="J17" s="14">
        <v>4500.0</v>
      </c>
      <c r="K17" s="15">
        <v>46245.0</v>
      </c>
      <c r="L17" s="15">
        <v>46255.0</v>
      </c>
      <c r="M17" s="8" t="s">
        <v>107</v>
      </c>
    </row>
    <row r="18" ht="22.5" customHeight="1">
      <c r="A18" s="8" t="s">
        <v>141</v>
      </c>
      <c r="B18" s="8" t="s">
        <v>142</v>
      </c>
      <c r="C18" s="13" t="s">
        <v>143</v>
      </c>
      <c r="D18" s="8" t="s">
        <v>144</v>
      </c>
      <c r="E18" s="8" t="s">
        <v>145</v>
      </c>
      <c r="F18" s="12" t="s">
        <v>175</v>
      </c>
      <c r="G18" s="12" t="s">
        <v>48</v>
      </c>
      <c r="H18" s="12" t="s">
        <v>76</v>
      </c>
      <c r="I18" s="12" t="s">
        <v>50</v>
      </c>
      <c r="J18" s="14">
        <v>3000.0</v>
      </c>
      <c r="K18" s="15">
        <v>46037.0</v>
      </c>
      <c r="L18" s="15">
        <v>46053.0</v>
      </c>
      <c r="M18" s="8" t="s">
        <v>95</v>
      </c>
    </row>
    <row r="19" ht="22.5" customHeight="1">
      <c r="A19" s="8" t="s">
        <v>146</v>
      </c>
      <c r="B19" s="8" t="s">
        <v>147</v>
      </c>
      <c r="C19" s="13" t="s">
        <v>148</v>
      </c>
      <c r="D19" s="8" t="s">
        <v>149</v>
      </c>
      <c r="E19" s="8" t="s">
        <v>150</v>
      </c>
      <c r="F19" s="12" t="s">
        <v>47</v>
      </c>
      <c r="G19" s="12" t="s">
        <v>48</v>
      </c>
      <c r="H19" s="12" t="s">
        <v>28</v>
      </c>
      <c r="I19" s="12" t="s">
        <v>29</v>
      </c>
      <c r="J19" s="14">
        <v>1200.0</v>
      </c>
      <c r="K19" s="15">
        <v>46231.0</v>
      </c>
      <c r="L19" s="15">
        <v>46231.0</v>
      </c>
    </row>
    <row r="20" ht="22.5" customHeight="1">
      <c r="A20" s="8" t="s">
        <v>152</v>
      </c>
      <c r="B20" s="8" t="s">
        <v>153</v>
      </c>
      <c r="C20" s="13" t="s">
        <v>154</v>
      </c>
      <c r="D20" s="8" t="s">
        <v>155</v>
      </c>
      <c r="E20" s="8" t="s">
        <v>156</v>
      </c>
      <c r="F20" s="12" t="s">
        <v>47</v>
      </c>
      <c r="G20" s="12" t="s">
        <v>39</v>
      </c>
      <c r="H20" s="12" t="s">
        <v>76</v>
      </c>
      <c r="I20" s="12" t="s">
        <v>50</v>
      </c>
      <c r="J20" s="14">
        <v>500.0</v>
      </c>
      <c r="K20" s="15">
        <v>46232.0</v>
      </c>
      <c r="L20" s="15">
        <v>46263.0</v>
      </c>
      <c r="M20" s="8" t="s">
        <v>95</v>
      </c>
    </row>
    <row r="21" ht="22.5" customHeight="1">
      <c r="A21" s="8" t="s">
        <v>157</v>
      </c>
      <c r="B21" s="8" t="s">
        <v>158</v>
      </c>
      <c r="C21" s="13" t="s">
        <v>159</v>
      </c>
      <c r="D21" s="8" t="s">
        <v>160</v>
      </c>
      <c r="E21" s="8" t="s">
        <v>161</v>
      </c>
      <c r="F21" s="12" t="s">
        <v>120</v>
      </c>
      <c r="G21" s="12" t="s">
        <v>48</v>
      </c>
      <c r="H21" s="12" t="s">
        <v>28</v>
      </c>
      <c r="I21" s="12" t="s">
        <v>134</v>
      </c>
      <c r="J21" s="14">
        <v>1500.0</v>
      </c>
      <c r="K21" s="15">
        <v>46253.0</v>
      </c>
      <c r="L21" s="15">
        <v>46275.0</v>
      </c>
      <c r="M21" s="8" t="s">
        <v>66</v>
      </c>
    </row>
    <row r="22" ht="22.5" customHeight="1">
      <c r="A22" s="8" t="s">
        <v>163</v>
      </c>
      <c r="B22" s="8" t="s">
        <v>164</v>
      </c>
      <c r="C22" s="13" t="s">
        <v>165</v>
      </c>
      <c r="D22" s="8" t="s">
        <v>166</v>
      </c>
      <c r="E22" s="8" t="s">
        <v>167</v>
      </c>
      <c r="F22" s="12" t="s">
        <v>132</v>
      </c>
      <c r="G22" s="12" t="s">
        <v>27</v>
      </c>
      <c r="H22" s="12" t="s">
        <v>49</v>
      </c>
      <c r="I22" s="12" t="s">
        <v>29</v>
      </c>
      <c r="J22" s="14">
        <v>750.0</v>
      </c>
      <c r="K22" s="15">
        <v>46149.0</v>
      </c>
      <c r="L22" s="15">
        <v>46157.0</v>
      </c>
      <c r="M22" s="8" t="s">
        <v>66</v>
      </c>
    </row>
    <row r="23" ht="22.5" customHeight="1">
      <c r="A23" s="8" t="s">
        <v>169</v>
      </c>
      <c r="B23" s="8" t="s">
        <v>170</v>
      </c>
      <c r="C23" s="13" t="s">
        <v>171</v>
      </c>
      <c r="D23" s="8" t="s">
        <v>172</v>
      </c>
      <c r="E23" s="8" t="s">
        <v>173</v>
      </c>
      <c r="F23" s="12" t="s">
        <v>283</v>
      </c>
      <c r="G23" s="12" t="s">
        <v>57</v>
      </c>
      <c r="H23" s="12" t="s">
        <v>76</v>
      </c>
      <c r="I23" s="12" t="s">
        <v>65</v>
      </c>
      <c r="J23" s="14">
        <v>2500.0</v>
      </c>
      <c r="K23" s="15">
        <v>46033.0</v>
      </c>
      <c r="L23" s="15">
        <v>46069.0</v>
      </c>
      <c r="M23" s="8" t="s">
        <v>66</v>
      </c>
    </row>
    <row r="24" ht="22.5" customHeight="1">
      <c r="A24" s="8" t="s">
        <v>176</v>
      </c>
      <c r="B24" s="8" t="s">
        <v>177</v>
      </c>
      <c r="C24" s="13" t="s">
        <v>178</v>
      </c>
      <c r="E24" s="8" t="s">
        <v>179</v>
      </c>
      <c r="F24" s="12" t="s">
        <v>175</v>
      </c>
      <c r="G24" s="12" t="s">
        <v>48</v>
      </c>
      <c r="H24" s="12" t="s">
        <v>40</v>
      </c>
      <c r="I24" s="12" t="s">
        <v>134</v>
      </c>
      <c r="J24" s="14">
        <v>4500.0</v>
      </c>
      <c r="K24" s="15">
        <v>46032.0</v>
      </c>
      <c r="L24" s="15">
        <v>46068.0</v>
      </c>
    </row>
    <row r="25" ht="22.5" customHeight="1">
      <c r="A25" s="8" t="s">
        <v>180</v>
      </c>
      <c r="B25" s="8" t="s">
        <v>181</v>
      </c>
      <c r="C25" s="13" t="s">
        <v>182</v>
      </c>
      <c r="D25" s="8" t="s">
        <v>183</v>
      </c>
      <c r="E25" s="8" t="s">
        <v>184</v>
      </c>
      <c r="F25" s="12" t="s">
        <v>132</v>
      </c>
      <c r="G25" s="12" t="s">
        <v>27</v>
      </c>
      <c r="H25" s="12" t="s">
        <v>40</v>
      </c>
      <c r="I25" s="12" t="s">
        <v>50</v>
      </c>
      <c r="J25" s="14">
        <v>1500.0</v>
      </c>
      <c r="K25" s="15">
        <v>46253.0</v>
      </c>
      <c r="L25" s="15">
        <v>46286.0</v>
      </c>
      <c r="M25" s="8" t="s">
        <v>41</v>
      </c>
    </row>
    <row r="26" ht="22.5" customHeight="1">
      <c r="A26" s="8" t="s">
        <v>185</v>
      </c>
      <c r="B26" s="8" t="s">
        <v>186</v>
      </c>
      <c r="C26" s="13" t="s">
        <v>189</v>
      </c>
      <c r="E26" s="8" t="s">
        <v>190</v>
      </c>
      <c r="F26" s="12" t="s">
        <v>132</v>
      </c>
      <c r="G26" s="12" t="s">
        <v>39</v>
      </c>
      <c r="H26" s="12" t="s">
        <v>76</v>
      </c>
      <c r="I26" s="12" t="s">
        <v>65</v>
      </c>
      <c r="J26" s="14">
        <v>350.0</v>
      </c>
      <c r="K26" s="15">
        <v>46121.0</v>
      </c>
      <c r="L26" s="15">
        <v>46153.0</v>
      </c>
      <c r="M26" s="8" t="s">
        <v>107</v>
      </c>
    </row>
    <row r="27" ht="22.5" customHeight="1">
      <c r="A27" s="8" t="s">
        <v>191</v>
      </c>
      <c r="B27" s="8" t="s">
        <v>192</v>
      </c>
      <c r="C27" s="13" t="s">
        <v>193</v>
      </c>
      <c r="D27" s="8" t="s">
        <v>194</v>
      </c>
      <c r="E27" s="8" t="s">
        <v>195</v>
      </c>
      <c r="F27" s="12" t="s">
        <v>132</v>
      </c>
      <c r="G27" s="12" t="s">
        <v>57</v>
      </c>
      <c r="H27" s="12" t="s">
        <v>49</v>
      </c>
      <c r="I27" s="12" t="s">
        <v>65</v>
      </c>
      <c r="J27" s="14">
        <v>4500.0</v>
      </c>
      <c r="K27" s="15">
        <v>46206.0</v>
      </c>
      <c r="L27" s="15">
        <v>46206.0</v>
      </c>
      <c r="M27" s="8" t="s">
        <v>66</v>
      </c>
    </row>
    <row r="28" ht="22.5" customHeight="1">
      <c r="A28" s="8" t="s">
        <v>196</v>
      </c>
      <c r="B28" s="8" t="s">
        <v>197</v>
      </c>
      <c r="C28" s="13" t="s">
        <v>198</v>
      </c>
      <c r="D28" s="8" t="s">
        <v>199</v>
      </c>
      <c r="E28" s="8" t="s">
        <v>200</v>
      </c>
      <c r="F28" s="12" t="s">
        <v>201</v>
      </c>
      <c r="G28" s="12" t="s">
        <v>27</v>
      </c>
      <c r="H28" s="12" t="s">
        <v>49</v>
      </c>
      <c r="I28" s="12" t="s">
        <v>134</v>
      </c>
      <c r="J28" s="14">
        <v>3000.0</v>
      </c>
      <c r="K28" s="15">
        <v>46103.0</v>
      </c>
      <c r="L28" s="15">
        <v>46112.0</v>
      </c>
    </row>
    <row r="29" ht="22.5" customHeight="1">
      <c r="A29" s="8" t="s">
        <v>202</v>
      </c>
      <c r="B29" s="8" t="s">
        <v>203</v>
      </c>
      <c r="C29" s="13" t="s">
        <v>204</v>
      </c>
      <c r="F29" s="12" t="s">
        <v>38</v>
      </c>
      <c r="G29" s="12" t="s">
        <v>133</v>
      </c>
      <c r="H29" s="12" t="s">
        <v>76</v>
      </c>
      <c r="I29" s="12" t="s">
        <v>50</v>
      </c>
      <c r="J29" s="14">
        <v>2500.0</v>
      </c>
      <c r="K29" s="15">
        <v>46134.0</v>
      </c>
      <c r="L29" s="15">
        <v>46169.0</v>
      </c>
      <c r="M29" s="8" t="s">
        <v>66</v>
      </c>
    </row>
    <row r="30" ht="22.5" customHeight="1">
      <c r="A30" s="8" t="s">
        <v>206</v>
      </c>
      <c r="B30" s="8" t="s">
        <v>207</v>
      </c>
      <c r="C30" s="13" t="s">
        <v>208</v>
      </c>
      <c r="D30" s="8" t="s">
        <v>209</v>
      </c>
      <c r="E30" s="8" t="s">
        <v>210</v>
      </c>
      <c r="F30" s="12" t="s">
        <v>201</v>
      </c>
      <c r="G30" s="12" t="s">
        <v>133</v>
      </c>
      <c r="H30" s="12" t="s">
        <v>28</v>
      </c>
      <c r="I30" s="12" t="s">
        <v>77</v>
      </c>
      <c r="J30" s="14">
        <v>750.0</v>
      </c>
      <c r="K30" s="15">
        <v>46183.0</v>
      </c>
      <c r="L30" s="15">
        <v>46216.0</v>
      </c>
    </row>
    <row r="31" ht="22.5" customHeight="1">
      <c r="A31" s="8" t="s">
        <v>212</v>
      </c>
      <c r="B31" s="8" t="s">
        <v>213</v>
      </c>
      <c r="C31" s="13" t="s">
        <v>214</v>
      </c>
      <c r="E31" s="8" t="s">
        <v>215</v>
      </c>
      <c r="F31" s="12" t="s">
        <v>216</v>
      </c>
      <c r="G31" s="12" t="s">
        <v>27</v>
      </c>
      <c r="H31" s="12" t="s">
        <v>217</v>
      </c>
      <c r="I31" s="12" t="s">
        <v>50</v>
      </c>
      <c r="J31" s="14"/>
      <c r="K31" s="15">
        <v>46095.0</v>
      </c>
      <c r="L31" s="15">
        <v>46099.0</v>
      </c>
      <c r="M31" s="8" t="s">
        <v>66</v>
      </c>
    </row>
    <row r="32" ht="22.5" customHeight="1">
      <c r="A32" s="8" t="s">
        <v>218</v>
      </c>
      <c r="B32" s="8" t="s">
        <v>219</v>
      </c>
      <c r="C32" s="13" t="s">
        <v>221</v>
      </c>
      <c r="D32" s="8" t="s">
        <v>222</v>
      </c>
      <c r="E32" s="8" t="s">
        <v>223</v>
      </c>
      <c r="F32" s="12" t="s">
        <v>120</v>
      </c>
      <c r="G32" s="12" t="s">
        <v>27</v>
      </c>
      <c r="H32" s="12" t="s">
        <v>217</v>
      </c>
      <c r="I32" s="12" t="s">
        <v>65</v>
      </c>
      <c r="J32" s="14">
        <v>750.0</v>
      </c>
      <c r="K32" s="15">
        <v>46190.0</v>
      </c>
      <c r="L32" s="15">
        <v>46192.0</v>
      </c>
      <c r="M32" s="8" t="s">
        <v>41</v>
      </c>
    </row>
    <row r="33" ht="22.5" customHeight="1">
      <c r="A33" s="8" t="s">
        <v>224</v>
      </c>
      <c r="B33" s="8" t="s">
        <v>225</v>
      </c>
      <c r="C33" s="13" t="s">
        <v>226</v>
      </c>
      <c r="D33" s="8" t="s">
        <v>227</v>
      </c>
      <c r="E33" s="8" t="s">
        <v>228</v>
      </c>
      <c r="F33" s="12" t="s">
        <v>175</v>
      </c>
      <c r="G33" s="12" t="s">
        <v>57</v>
      </c>
      <c r="H33" s="12" t="s">
        <v>49</v>
      </c>
      <c r="I33" s="12" t="s">
        <v>65</v>
      </c>
      <c r="J33" s="14">
        <v>3000.0</v>
      </c>
      <c r="K33" s="15">
        <v>46030.0</v>
      </c>
      <c r="L33" s="15">
        <v>46052.0</v>
      </c>
      <c r="M33" s="8" t="s">
        <v>30</v>
      </c>
    </row>
    <row r="34" ht="22.5" customHeight="1">
      <c r="A34" s="8" t="s">
        <v>229</v>
      </c>
      <c r="B34" s="8" t="s">
        <v>230</v>
      </c>
      <c r="C34" s="13" t="s">
        <v>231</v>
      </c>
      <c r="D34" s="8" t="s">
        <v>232</v>
      </c>
      <c r="E34" s="8" t="s">
        <v>105</v>
      </c>
      <c r="F34" s="12" t="s">
        <v>283</v>
      </c>
      <c r="G34" s="12" t="s">
        <v>39</v>
      </c>
      <c r="H34" s="12" t="s">
        <v>76</v>
      </c>
      <c r="I34" s="12" t="s">
        <v>58</v>
      </c>
      <c r="J34" s="14">
        <v>500.0</v>
      </c>
      <c r="K34" s="15">
        <v>46092.0</v>
      </c>
      <c r="L34" s="15">
        <v>46135.0</v>
      </c>
    </row>
    <row r="35" ht="22.5" customHeight="1">
      <c r="A35" s="8" t="s">
        <v>233</v>
      </c>
      <c r="B35" s="8" t="s">
        <v>234</v>
      </c>
      <c r="C35" s="13" t="s">
        <v>235</v>
      </c>
      <c r="D35" s="8" t="s">
        <v>236</v>
      </c>
      <c r="E35" s="8" t="s">
        <v>237</v>
      </c>
      <c r="F35" s="12" t="s">
        <v>47</v>
      </c>
      <c r="G35" s="12" t="s">
        <v>27</v>
      </c>
      <c r="H35" s="12" t="s">
        <v>217</v>
      </c>
      <c r="I35" s="12" t="s">
        <v>77</v>
      </c>
      <c r="J35" s="14">
        <v>4500.0</v>
      </c>
      <c r="K35" s="15">
        <v>46035.0</v>
      </c>
      <c r="L35" s="15">
        <v>46080.0</v>
      </c>
      <c r="M35" s="8" t="s">
        <v>95</v>
      </c>
    </row>
    <row r="36" ht="22.5" customHeight="1">
      <c r="A36" s="8" t="s">
        <v>238</v>
      </c>
      <c r="B36" s="8" t="s">
        <v>239</v>
      </c>
      <c r="C36" s="13" t="s">
        <v>240</v>
      </c>
      <c r="D36" s="8" t="s">
        <v>241</v>
      </c>
      <c r="E36" s="8" t="s">
        <v>242</v>
      </c>
      <c r="F36" s="12" t="s">
        <v>38</v>
      </c>
      <c r="G36" s="12" t="s">
        <v>48</v>
      </c>
      <c r="H36" s="12" t="s">
        <v>217</v>
      </c>
      <c r="I36" s="12" t="s">
        <v>58</v>
      </c>
      <c r="J36" s="14">
        <v>3000.0</v>
      </c>
      <c r="K36" s="15">
        <v>46134.0</v>
      </c>
      <c r="L36" s="15">
        <v>46154.0</v>
      </c>
      <c r="M36" s="8" t="s">
        <v>41</v>
      </c>
    </row>
    <row r="37" ht="22.5" customHeight="1">
      <c r="A37" s="8" t="s">
        <v>243</v>
      </c>
      <c r="B37" s="8" t="s">
        <v>244</v>
      </c>
      <c r="C37" s="13" t="s">
        <v>245</v>
      </c>
      <c r="D37" s="8" t="s">
        <v>246</v>
      </c>
      <c r="E37" s="8" t="s">
        <v>247</v>
      </c>
      <c r="F37" s="12" t="s">
        <v>283</v>
      </c>
      <c r="G37" s="12" t="s">
        <v>106</v>
      </c>
      <c r="H37" s="12" t="s">
        <v>76</v>
      </c>
      <c r="I37" s="12" t="s">
        <v>77</v>
      </c>
      <c r="J37" s="14">
        <v>350.0</v>
      </c>
      <c r="K37" s="15">
        <v>46153.0</v>
      </c>
      <c r="L37" s="15">
        <v>46161.0</v>
      </c>
      <c r="M37" s="8" t="s">
        <v>107</v>
      </c>
    </row>
    <row r="38" ht="22.5" customHeight="1">
      <c r="A38" s="8" t="s">
        <v>249</v>
      </c>
      <c r="B38" s="8" t="s">
        <v>250</v>
      </c>
      <c r="C38" s="13" t="s">
        <v>251</v>
      </c>
      <c r="D38" s="8" t="s">
        <v>252</v>
      </c>
      <c r="F38" s="12" t="s">
        <v>283</v>
      </c>
      <c r="G38" s="12" t="s">
        <v>39</v>
      </c>
      <c r="H38" s="12" t="s">
        <v>40</v>
      </c>
      <c r="I38" s="12" t="s">
        <v>65</v>
      </c>
      <c r="J38" s="14">
        <v>350.0</v>
      </c>
      <c r="K38" s="15">
        <v>46090.0</v>
      </c>
      <c r="L38" s="15">
        <v>46090.0</v>
      </c>
      <c r="M38" s="8" t="s">
        <v>66</v>
      </c>
    </row>
    <row r="39" ht="22.5" customHeight="1">
      <c r="A39" s="8" t="s">
        <v>254</v>
      </c>
      <c r="B39" s="8" t="s">
        <v>255</v>
      </c>
      <c r="C39" s="13" t="s">
        <v>256</v>
      </c>
      <c r="D39" s="8" t="s">
        <v>258</v>
      </c>
      <c r="E39" s="8" t="s">
        <v>259</v>
      </c>
      <c r="F39" s="12" t="s">
        <v>175</v>
      </c>
      <c r="G39" s="12" t="s">
        <v>57</v>
      </c>
      <c r="H39" s="12" t="s">
        <v>40</v>
      </c>
      <c r="I39" s="12" t="s">
        <v>65</v>
      </c>
      <c r="J39" s="14">
        <v>2000.0</v>
      </c>
      <c r="K39" s="15">
        <v>46068.0</v>
      </c>
      <c r="L39" s="15">
        <v>46107.0</v>
      </c>
      <c r="M39" s="8" t="s">
        <v>95</v>
      </c>
    </row>
    <row r="40" ht="22.5" customHeight="1">
      <c r="A40" s="8" t="s">
        <v>261</v>
      </c>
      <c r="B40" s="8" t="s">
        <v>262</v>
      </c>
      <c r="C40" s="13" t="s">
        <v>264</v>
      </c>
      <c r="D40" s="8" t="s">
        <v>265</v>
      </c>
      <c r="E40" s="8" t="s">
        <v>266</v>
      </c>
      <c r="F40" s="12" t="s">
        <v>47</v>
      </c>
      <c r="G40" s="12" t="s">
        <v>133</v>
      </c>
      <c r="H40" s="12" t="s">
        <v>40</v>
      </c>
      <c r="I40" s="12" t="s">
        <v>77</v>
      </c>
      <c r="J40" s="14">
        <v>350.0</v>
      </c>
      <c r="K40" s="15">
        <v>46116.0</v>
      </c>
      <c r="L40" s="15"/>
      <c r="M40" s="8" t="s">
        <v>95</v>
      </c>
    </row>
    <row r="41" ht="22.5" customHeight="1">
      <c r="A41" s="8" t="s">
        <v>267</v>
      </c>
      <c r="B41" s="8" t="s">
        <v>268</v>
      </c>
      <c r="C41" s="13" t="s">
        <v>269</v>
      </c>
      <c r="D41" s="8" t="s">
        <v>270</v>
      </c>
      <c r="E41" s="8" t="s">
        <v>237</v>
      </c>
      <c r="F41" s="12" t="s">
        <v>120</v>
      </c>
      <c r="G41" s="12" t="s">
        <v>57</v>
      </c>
      <c r="H41" s="12" t="s">
        <v>76</v>
      </c>
      <c r="I41" s="12" t="s">
        <v>134</v>
      </c>
      <c r="J41" s="14">
        <v>4500.0</v>
      </c>
      <c r="K41" s="15">
        <v>46155.0</v>
      </c>
      <c r="L41" s="15">
        <v>46174.0</v>
      </c>
      <c r="M41" s="8" t="s">
        <v>30</v>
      </c>
    </row>
    <row r="42" ht="22.5" customHeight="1">
      <c r="A42" s="8" t="s">
        <v>273</v>
      </c>
      <c r="B42" s="8" t="s">
        <v>274</v>
      </c>
      <c r="C42" s="13" t="s">
        <v>275</v>
      </c>
      <c r="D42" s="8" t="s">
        <v>276</v>
      </c>
      <c r="E42" s="8" t="s">
        <v>277</v>
      </c>
      <c r="F42" s="12" t="s">
        <v>38</v>
      </c>
      <c r="G42" s="12" t="s">
        <v>48</v>
      </c>
      <c r="H42" s="12" t="s">
        <v>76</v>
      </c>
      <c r="I42" s="12" t="s">
        <v>58</v>
      </c>
      <c r="J42" s="14">
        <v>900.0</v>
      </c>
      <c r="K42" s="15">
        <v>46264.0</v>
      </c>
      <c r="L42" s="15">
        <v>46289.0</v>
      </c>
      <c r="M42" s="8" t="s">
        <v>107</v>
      </c>
    </row>
    <row r="43" ht="22.5" customHeight="1">
      <c r="A43" s="8" t="s">
        <v>278</v>
      </c>
      <c r="B43" s="8" t="s">
        <v>279</v>
      </c>
      <c r="C43" s="13" t="s">
        <v>280</v>
      </c>
      <c r="D43" s="8" t="s">
        <v>281</v>
      </c>
      <c r="E43" s="8" t="s">
        <v>282</v>
      </c>
      <c r="F43" s="12" t="s">
        <v>283</v>
      </c>
      <c r="G43" s="12" t="s">
        <v>106</v>
      </c>
      <c r="H43" s="12" t="s">
        <v>76</v>
      </c>
      <c r="I43" s="12" t="s">
        <v>29</v>
      </c>
      <c r="J43" s="14">
        <v>1500.0</v>
      </c>
      <c r="K43" s="15">
        <v>46053.0</v>
      </c>
      <c r="L43" s="15">
        <v>46068.0</v>
      </c>
      <c r="M43" s="8" t="s">
        <v>66</v>
      </c>
    </row>
    <row r="44" ht="22.5" customHeight="1">
      <c r="A44" s="8" t="s">
        <v>284</v>
      </c>
      <c r="B44" s="8" t="s">
        <v>285</v>
      </c>
      <c r="C44" s="13" t="s">
        <v>286</v>
      </c>
      <c r="D44" s="8" t="s">
        <v>287</v>
      </c>
      <c r="E44" s="8" t="s">
        <v>288</v>
      </c>
      <c r="F44" s="12" t="s">
        <v>283</v>
      </c>
      <c r="G44" s="12" t="s">
        <v>48</v>
      </c>
      <c r="H44" s="12" t="s">
        <v>28</v>
      </c>
      <c r="I44" s="12" t="s">
        <v>77</v>
      </c>
      <c r="J44" s="14">
        <v>2000.0</v>
      </c>
      <c r="K44" s="15">
        <v>46259.0</v>
      </c>
      <c r="L44" s="15">
        <v>46298.0</v>
      </c>
      <c r="M44" s="8" t="s">
        <v>41</v>
      </c>
    </row>
    <row r="45" ht="22.5" customHeight="1">
      <c r="A45" s="8" t="s">
        <v>289</v>
      </c>
      <c r="B45" s="8" t="s">
        <v>290</v>
      </c>
      <c r="C45" s="13" t="s">
        <v>291</v>
      </c>
      <c r="D45" s="8" t="s">
        <v>292</v>
      </c>
      <c r="E45" s="8" t="s">
        <v>293</v>
      </c>
      <c r="F45" s="12" t="s">
        <v>283</v>
      </c>
      <c r="G45" s="12" t="s">
        <v>48</v>
      </c>
      <c r="H45" s="12" t="s">
        <v>28</v>
      </c>
      <c r="I45" s="12" t="s">
        <v>134</v>
      </c>
      <c r="J45" s="14">
        <v>1500.0</v>
      </c>
      <c r="K45" s="15">
        <v>46043.0</v>
      </c>
      <c r="L45" s="15">
        <v>46059.0</v>
      </c>
      <c r="M45" s="8" t="s">
        <v>30</v>
      </c>
    </row>
    <row r="46" ht="22.5" customHeight="1">
      <c r="A46" s="8" t="s">
        <v>294</v>
      </c>
      <c r="B46" s="8" t="s">
        <v>295</v>
      </c>
      <c r="C46" s="13" t="s">
        <v>296</v>
      </c>
      <c r="E46" s="8" t="s">
        <v>242</v>
      </c>
      <c r="F46" s="12" t="s">
        <v>120</v>
      </c>
      <c r="G46" s="12" t="s">
        <v>39</v>
      </c>
      <c r="H46" s="12" t="s">
        <v>49</v>
      </c>
      <c r="I46" s="12" t="s">
        <v>77</v>
      </c>
      <c r="J46" s="14">
        <v>1500.0</v>
      </c>
      <c r="K46" s="15">
        <v>46173.0</v>
      </c>
      <c r="L46" s="15">
        <v>46174.0</v>
      </c>
      <c r="M46" s="8" t="s">
        <v>41</v>
      </c>
    </row>
    <row r="47" ht="22.5" customHeight="1">
      <c r="A47" s="8" t="s">
        <v>299</v>
      </c>
      <c r="B47" s="8" t="s">
        <v>300</v>
      </c>
      <c r="C47" s="13" t="s">
        <v>301</v>
      </c>
      <c r="E47" s="8" t="s">
        <v>303</v>
      </c>
      <c r="F47" s="12" t="s">
        <v>132</v>
      </c>
      <c r="G47" s="12" t="s">
        <v>106</v>
      </c>
      <c r="H47" s="12" t="s">
        <v>40</v>
      </c>
      <c r="I47" s="12" t="s">
        <v>134</v>
      </c>
      <c r="J47" s="14">
        <v>1200.0</v>
      </c>
      <c r="K47" s="15">
        <v>46187.0</v>
      </c>
      <c r="L47" s="15">
        <v>46204.0</v>
      </c>
    </row>
    <row r="48" ht="22.5" customHeight="1">
      <c r="A48" s="8" t="s">
        <v>308</v>
      </c>
      <c r="B48" s="8" t="s">
        <v>309</v>
      </c>
      <c r="C48" s="13" t="s">
        <v>310</v>
      </c>
      <c r="D48" s="8" t="s">
        <v>311</v>
      </c>
      <c r="E48" s="8" t="s">
        <v>131</v>
      </c>
      <c r="F48" s="12" t="s">
        <v>38</v>
      </c>
      <c r="G48" s="12" t="s">
        <v>39</v>
      </c>
      <c r="H48" s="12" t="s">
        <v>76</v>
      </c>
      <c r="I48" s="12" t="s">
        <v>77</v>
      </c>
      <c r="J48" s="14">
        <v>4500.0</v>
      </c>
      <c r="K48" s="15">
        <v>46244.0</v>
      </c>
      <c r="L48" s="15"/>
      <c r="M48" s="8" t="s">
        <v>41</v>
      </c>
    </row>
    <row r="49" ht="22.5" customHeight="1">
      <c r="A49" s="8" t="s">
        <v>314</v>
      </c>
      <c r="B49" s="8" t="s">
        <v>315</v>
      </c>
      <c r="C49" s="13" t="s">
        <v>316</v>
      </c>
      <c r="D49" s="8" t="s">
        <v>317</v>
      </c>
      <c r="E49" s="8" t="s">
        <v>318</v>
      </c>
      <c r="F49" s="12" t="s">
        <v>220</v>
      </c>
      <c r="G49" s="12" t="s">
        <v>39</v>
      </c>
      <c r="H49" s="12" t="s">
        <v>217</v>
      </c>
      <c r="I49" s="12" t="s">
        <v>50</v>
      </c>
      <c r="J49" s="14">
        <v>750.0</v>
      </c>
      <c r="K49" s="15">
        <v>46260.0</v>
      </c>
      <c r="L49" s="15">
        <v>46289.0</v>
      </c>
      <c r="M49" s="8" t="s">
        <v>41</v>
      </c>
    </row>
    <row r="50" ht="22.5" customHeight="1">
      <c r="A50" s="8" t="s">
        <v>319</v>
      </c>
      <c r="B50" s="8" t="s">
        <v>320</v>
      </c>
      <c r="C50" s="13" t="s">
        <v>322</v>
      </c>
      <c r="D50" s="8" t="s">
        <v>323</v>
      </c>
      <c r="E50" s="8" t="s">
        <v>325</v>
      </c>
      <c r="F50" s="12" t="s">
        <v>132</v>
      </c>
      <c r="G50" s="12" t="s">
        <v>106</v>
      </c>
      <c r="H50" s="12" t="s">
        <v>40</v>
      </c>
      <c r="I50" s="12" t="s">
        <v>58</v>
      </c>
      <c r="J50" s="14"/>
      <c r="K50" s="15">
        <v>46259.0</v>
      </c>
      <c r="L50" s="15">
        <v>46274.0</v>
      </c>
      <c r="M50" s="8" t="s">
        <v>66</v>
      </c>
    </row>
    <row r="51" ht="22.5" customHeight="1">
      <c r="A51" s="8" t="s">
        <v>326</v>
      </c>
      <c r="B51" s="8" t="s">
        <v>327</v>
      </c>
      <c r="C51" s="13" t="s">
        <v>328</v>
      </c>
      <c r="D51" s="8" t="s">
        <v>331</v>
      </c>
      <c r="E51" s="8" t="s">
        <v>332</v>
      </c>
      <c r="F51" s="12" t="s">
        <v>175</v>
      </c>
      <c r="G51" s="12" t="s">
        <v>57</v>
      </c>
      <c r="H51" s="12" t="s">
        <v>28</v>
      </c>
      <c r="I51" s="12" t="s">
        <v>29</v>
      </c>
      <c r="J51" s="14">
        <v>1200.0</v>
      </c>
      <c r="K51" s="15">
        <v>46158.0</v>
      </c>
      <c r="L51" s="15">
        <v>46171.0</v>
      </c>
      <c r="M51" s="8" t="s">
        <v>95</v>
      </c>
    </row>
    <row r="52" ht="22.5" customHeight="1">
      <c r="A52" s="8" t="s">
        <v>335</v>
      </c>
      <c r="B52" s="8" t="s">
        <v>336</v>
      </c>
      <c r="C52" s="13" t="s">
        <v>337</v>
      </c>
      <c r="D52" s="8" t="s">
        <v>338</v>
      </c>
      <c r="E52" s="8" t="s">
        <v>339</v>
      </c>
      <c r="F52" s="12" t="s">
        <v>201</v>
      </c>
      <c r="G52" s="12" t="s">
        <v>48</v>
      </c>
      <c r="H52" s="12" t="s">
        <v>217</v>
      </c>
      <c r="I52" s="12" t="s">
        <v>58</v>
      </c>
      <c r="J52" s="14">
        <v>900.0</v>
      </c>
      <c r="K52" s="15">
        <v>46029.0</v>
      </c>
      <c r="L52" s="15">
        <v>46064.0</v>
      </c>
      <c r="M52" s="8" t="s">
        <v>30</v>
      </c>
    </row>
    <row r="53" ht="22.5" customHeight="1">
      <c r="A53" s="8" t="s">
        <v>341</v>
      </c>
      <c r="B53" s="8" t="s">
        <v>342</v>
      </c>
      <c r="C53" s="13" t="s">
        <v>343</v>
      </c>
      <c r="D53" s="8" t="s">
        <v>346</v>
      </c>
      <c r="E53" s="8" t="s">
        <v>347</v>
      </c>
      <c r="F53" s="12" t="s">
        <v>47</v>
      </c>
      <c r="G53" s="12" t="s">
        <v>133</v>
      </c>
      <c r="H53" s="12" t="s">
        <v>49</v>
      </c>
      <c r="I53" s="12" t="s">
        <v>134</v>
      </c>
      <c r="J53" s="14">
        <v>2000.0</v>
      </c>
      <c r="K53" s="15">
        <v>46264.0</v>
      </c>
      <c r="L53" s="15"/>
      <c r="M53" s="8" t="s">
        <v>107</v>
      </c>
    </row>
    <row r="54" ht="22.5" customHeight="1">
      <c r="A54" s="8" t="s">
        <v>349</v>
      </c>
      <c r="B54" s="8" t="s">
        <v>128</v>
      </c>
      <c r="C54" s="13" t="s">
        <v>350</v>
      </c>
      <c r="D54" s="8" t="s">
        <v>355</v>
      </c>
      <c r="E54" s="8" t="s">
        <v>282</v>
      </c>
      <c r="F54" s="12" t="s">
        <v>132</v>
      </c>
      <c r="G54" s="12" t="s">
        <v>57</v>
      </c>
      <c r="H54" s="12" t="s">
        <v>217</v>
      </c>
      <c r="I54" s="12" t="s">
        <v>77</v>
      </c>
      <c r="J54" s="14">
        <v>4500.0</v>
      </c>
      <c r="K54" s="15">
        <v>46135.0</v>
      </c>
      <c r="L54" s="15">
        <v>46172.0</v>
      </c>
      <c r="M54" s="8" t="s">
        <v>107</v>
      </c>
    </row>
    <row r="55" ht="22.5" customHeight="1">
      <c r="A55" s="8" t="s">
        <v>356</v>
      </c>
      <c r="B55" s="8" t="s">
        <v>357</v>
      </c>
      <c r="C55" s="13" t="s">
        <v>358</v>
      </c>
      <c r="D55" s="8" t="s">
        <v>359</v>
      </c>
      <c r="E55" s="8" t="s">
        <v>360</v>
      </c>
      <c r="F55" s="12" t="s">
        <v>201</v>
      </c>
      <c r="G55" s="12" t="s">
        <v>27</v>
      </c>
      <c r="H55" s="12" t="s">
        <v>40</v>
      </c>
      <c r="I55" s="12" t="s">
        <v>50</v>
      </c>
      <c r="J55" s="14">
        <v>4500.0</v>
      </c>
      <c r="K55" s="15">
        <v>46066.0</v>
      </c>
      <c r="L55" s="15">
        <v>46107.0</v>
      </c>
      <c r="M55" s="8" t="s">
        <v>41</v>
      </c>
    </row>
    <row r="56" ht="22.5" customHeight="1">
      <c r="A56" s="8" t="s">
        <v>363</v>
      </c>
      <c r="B56" s="8" t="s">
        <v>364</v>
      </c>
      <c r="C56" s="13" t="s">
        <v>365</v>
      </c>
      <c r="D56" s="8" t="s">
        <v>366</v>
      </c>
      <c r="E56" s="8" t="s">
        <v>367</v>
      </c>
      <c r="F56" s="12" t="s">
        <v>283</v>
      </c>
      <c r="G56" s="12" t="s">
        <v>106</v>
      </c>
      <c r="H56" s="12" t="s">
        <v>40</v>
      </c>
      <c r="I56" s="12" t="s">
        <v>77</v>
      </c>
      <c r="J56" s="14">
        <v>1200.0</v>
      </c>
      <c r="K56" s="15">
        <v>46255.0</v>
      </c>
      <c r="L56" s="15">
        <v>46290.0</v>
      </c>
      <c r="M56" s="8" t="s">
        <v>41</v>
      </c>
    </row>
    <row r="57" ht="22.5" customHeight="1">
      <c r="A57" s="8" t="s">
        <v>368</v>
      </c>
      <c r="B57" s="8" t="s">
        <v>369</v>
      </c>
      <c r="C57" s="13" t="s">
        <v>370</v>
      </c>
      <c r="D57" s="8" t="s">
        <v>371</v>
      </c>
      <c r="E57" s="8" t="s">
        <v>156</v>
      </c>
      <c r="F57" s="12" t="s">
        <v>283</v>
      </c>
      <c r="G57" s="12" t="s">
        <v>57</v>
      </c>
      <c r="H57" s="12" t="s">
        <v>49</v>
      </c>
      <c r="I57" s="12" t="s">
        <v>77</v>
      </c>
      <c r="J57" s="14">
        <v>500.0</v>
      </c>
      <c r="K57" s="15">
        <v>46216.0</v>
      </c>
      <c r="L57" s="15">
        <v>46239.0</v>
      </c>
    </row>
    <row r="58" ht="22.5" customHeight="1">
      <c r="A58" s="8" t="s">
        <v>372</v>
      </c>
      <c r="B58" s="8" t="s">
        <v>373</v>
      </c>
      <c r="C58" s="13" t="s">
        <v>374</v>
      </c>
      <c r="D58" s="8" t="s">
        <v>375</v>
      </c>
      <c r="E58" s="8" t="s">
        <v>376</v>
      </c>
      <c r="F58" s="12" t="s">
        <v>120</v>
      </c>
      <c r="G58" s="12" t="s">
        <v>48</v>
      </c>
      <c r="H58" s="12" t="s">
        <v>76</v>
      </c>
      <c r="I58" s="12" t="s">
        <v>58</v>
      </c>
      <c r="J58" s="14">
        <v>350.0</v>
      </c>
      <c r="K58" s="15">
        <v>46191.0</v>
      </c>
      <c r="L58" s="15">
        <v>46214.0</v>
      </c>
    </row>
    <row r="59" ht="22.5" customHeight="1">
      <c r="A59" s="8" t="s">
        <v>377</v>
      </c>
      <c r="B59" s="8" t="s">
        <v>327</v>
      </c>
      <c r="C59" s="13" t="s">
        <v>380</v>
      </c>
      <c r="D59" s="8" t="s">
        <v>381</v>
      </c>
      <c r="E59" s="8" t="s">
        <v>382</v>
      </c>
      <c r="F59" s="12" t="s">
        <v>201</v>
      </c>
      <c r="G59" s="12" t="s">
        <v>27</v>
      </c>
      <c r="H59" s="12" t="s">
        <v>49</v>
      </c>
      <c r="I59" s="12" t="s">
        <v>50</v>
      </c>
      <c r="J59" s="14">
        <v>2000.0</v>
      </c>
      <c r="K59" s="15">
        <v>46230.0</v>
      </c>
      <c r="L59" s="15">
        <v>46274.0</v>
      </c>
      <c r="M59" s="8" t="s">
        <v>66</v>
      </c>
    </row>
    <row r="60" ht="22.5" customHeight="1">
      <c r="A60" s="8" t="s">
        <v>383</v>
      </c>
      <c r="B60" s="8" t="s">
        <v>384</v>
      </c>
      <c r="C60" s="13" t="s">
        <v>385</v>
      </c>
      <c r="D60" s="8" t="s">
        <v>386</v>
      </c>
      <c r="E60" s="8" t="s">
        <v>387</v>
      </c>
      <c r="F60" s="12" t="s">
        <v>132</v>
      </c>
      <c r="G60" s="12" t="s">
        <v>133</v>
      </c>
      <c r="H60" s="12" t="s">
        <v>217</v>
      </c>
      <c r="I60" s="12" t="s">
        <v>29</v>
      </c>
      <c r="J60" s="14">
        <v>2500.0</v>
      </c>
      <c r="K60" s="15">
        <v>46246.0</v>
      </c>
      <c r="L60" s="15">
        <v>46282.0</v>
      </c>
      <c r="M60" s="8" t="s">
        <v>30</v>
      </c>
    </row>
    <row r="61" ht="22.5" customHeight="1">
      <c r="A61" s="8" t="s">
        <v>388</v>
      </c>
      <c r="B61" s="8" t="s">
        <v>389</v>
      </c>
      <c r="C61" s="13" t="s">
        <v>390</v>
      </c>
      <c r="D61" s="8" t="s">
        <v>391</v>
      </c>
      <c r="E61" s="8" t="s">
        <v>392</v>
      </c>
      <c r="F61" s="12" t="s">
        <v>38</v>
      </c>
      <c r="G61" s="12" t="s">
        <v>27</v>
      </c>
      <c r="H61" s="12" t="s">
        <v>28</v>
      </c>
      <c r="I61" s="12" t="s">
        <v>77</v>
      </c>
      <c r="J61" s="14">
        <v>2000.0</v>
      </c>
      <c r="K61" s="15">
        <v>46116.0</v>
      </c>
      <c r="L61" s="15">
        <v>46132.0</v>
      </c>
      <c r="M61" s="8" t="s">
        <v>41</v>
      </c>
    </row>
    <row r="62" ht="22.5" customHeight="1">
      <c r="A62" s="8" t="s">
        <v>393</v>
      </c>
      <c r="B62" s="8" t="s">
        <v>394</v>
      </c>
      <c r="C62" s="52"/>
      <c r="D62" s="8" t="s">
        <v>395</v>
      </c>
      <c r="E62" s="8" t="s">
        <v>131</v>
      </c>
      <c r="F62" s="12" t="s">
        <v>132</v>
      </c>
      <c r="G62" s="12" t="s">
        <v>27</v>
      </c>
      <c r="H62" s="12" t="s">
        <v>49</v>
      </c>
      <c r="I62" s="12" t="s">
        <v>77</v>
      </c>
      <c r="J62" s="14">
        <v>900.0</v>
      </c>
      <c r="K62" s="15">
        <v>46230.0</v>
      </c>
      <c r="L62" s="15">
        <v>46248.0</v>
      </c>
    </row>
    <row r="63" ht="22.5" customHeight="1">
      <c r="A63" s="8" t="s">
        <v>396</v>
      </c>
      <c r="B63" s="8" t="s">
        <v>397</v>
      </c>
      <c r="C63" s="13" t="s">
        <v>398</v>
      </c>
      <c r="D63" s="8" t="s">
        <v>399</v>
      </c>
      <c r="E63" s="8" t="s">
        <v>400</v>
      </c>
      <c r="F63" s="12" t="s">
        <v>175</v>
      </c>
      <c r="G63" s="12" t="s">
        <v>106</v>
      </c>
      <c r="H63" s="12" t="s">
        <v>217</v>
      </c>
      <c r="I63" s="12" t="s">
        <v>58</v>
      </c>
      <c r="J63" s="14">
        <v>350.0</v>
      </c>
      <c r="K63" s="15">
        <v>46261.0</v>
      </c>
      <c r="L63" s="15"/>
      <c r="M63" s="8" t="s">
        <v>30</v>
      </c>
    </row>
    <row r="64" ht="22.5" customHeight="1">
      <c r="A64" s="8" t="s">
        <v>401</v>
      </c>
      <c r="B64" s="8" t="s">
        <v>402</v>
      </c>
      <c r="C64" s="13" t="s">
        <v>403</v>
      </c>
      <c r="D64" s="8" t="s">
        <v>404</v>
      </c>
      <c r="E64" s="8" t="s">
        <v>405</v>
      </c>
      <c r="F64" s="12" t="s">
        <v>38</v>
      </c>
      <c r="G64" s="12" t="s">
        <v>57</v>
      </c>
      <c r="H64" s="12" t="s">
        <v>76</v>
      </c>
      <c r="I64" s="12" t="s">
        <v>65</v>
      </c>
      <c r="J64" s="14">
        <v>2500.0</v>
      </c>
      <c r="K64" s="15">
        <v>46097.0</v>
      </c>
      <c r="L64" s="15">
        <v>46104.0</v>
      </c>
      <c r="M64" s="8" t="s">
        <v>30</v>
      </c>
    </row>
    <row r="65" ht="22.5" customHeight="1">
      <c r="A65" s="8" t="s">
        <v>406</v>
      </c>
      <c r="B65" s="8" t="s">
        <v>407</v>
      </c>
      <c r="C65" s="13" t="s">
        <v>408</v>
      </c>
      <c r="D65" s="8" t="s">
        <v>409</v>
      </c>
      <c r="E65" s="8" t="s">
        <v>293</v>
      </c>
      <c r="F65" s="12" t="s">
        <v>47</v>
      </c>
      <c r="G65" s="12" t="s">
        <v>48</v>
      </c>
      <c r="H65" s="12" t="s">
        <v>28</v>
      </c>
      <c r="I65" s="12" t="s">
        <v>77</v>
      </c>
      <c r="J65" s="14">
        <v>350.0</v>
      </c>
      <c r="K65" s="15">
        <v>46209.0</v>
      </c>
      <c r="L65" s="15">
        <v>46253.0</v>
      </c>
      <c r="M65" s="8" t="s">
        <v>41</v>
      </c>
    </row>
    <row r="66" ht="22.5" customHeight="1">
      <c r="A66" s="8" t="s">
        <v>410</v>
      </c>
      <c r="B66" s="8" t="s">
        <v>411</v>
      </c>
      <c r="C66" s="13" t="s">
        <v>412</v>
      </c>
      <c r="D66" s="8" t="s">
        <v>413</v>
      </c>
      <c r="E66" s="8" t="s">
        <v>414</v>
      </c>
      <c r="F66" s="12" t="s">
        <v>132</v>
      </c>
      <c r="G66" s="12" t="s">
        <v>133</v>
      </c>
      <c r="H66" s="12" t="s">
        <v>76</v>
      </c>
      <c r="I66" s="12" t="s">
        <v>58</v>
      </c>
      <c r="J66" s="14">
        <v>3000.0</v>
      </c>
      <c r="K66" s="15">
        <v>46239.0</v>
      </c>
      <c r="L66" s="15">
        <v>46255.0</v>
      </c>
      <c r="M66" s="8" t="s">
        <v>66</v>
      </c>
    </row>
    <row r="67" ht="22.5" customHeight="1">
      <c r="A67" s="8" t="s">
        <v>415</v>
      </c>
      <c r="B67" s="8" t="s">
        <v>416</v>
      </c>
      <c r="C67" s="13" t="s">
        <v>417</v>
      </c>
      <c r="D67" s="8" t="s">
        <v>418</v>
      </c>
      <c r="E67" s="8" t="s">
        <v>419</v>
      </c>
      <c r="F67" s="12" t="s">
        <v>47</v>
      </c>
      <c r="G67" s="12" t="s">
        <v>106</v>
      </c>
      <c r="H67" s="12" t="s">
        <v>76</v>
      </c>
      <c r="I67" s="12" t="s">
        <v>29</v>
      </c>
      <c r="J67" s="14">
        <v>1200.0</v>
      </c>
      <c r="K67" s="15">
        <v>46239.0</v>
      </c>
      <c r="L67" s="15">
        <v>46261.0</v>
      </c>
      <c r="M67" s="8" t="s">
        <v>95</v>
      </c>
    </row>
    <row r="68" ht="22.5" customHeight="1">
      <c r="A68" s="8" t="s">
        <v>420</v>
      </c>
      <c r="B68" s="8" t="s">
        <v>421</v>
      </c>
      <c r="C68" s="13" t="s">
        <v>422</v>
      </c>
      <c r="D68" s="8" t="s">
        <v>423</v>
      </c>
      <c r="E68" s="8" t="s">
        <v>424</v>
      </c>
      <c r="F68" s="12" t="s">
        <v>38</v>
      </c>
      <c r="G68" s="12" t="s">
        <v>133</v>
      </c>
      <c r="H68" s="12" t="s">
        <v>28</v>
      </c>
      <c r="I68" s="12" t="s">
        <v>65</v>
      </c>
      <c r="J68" s="14">
        <v>2000.0</v>
      </c>
      <c r="K68" s="15">
        <v>46162.0</v>
      </c>
      <c r="L68" s="15">
        <v>46178.0</v>
      </c>
      <c r="M68" s="8" t="s">
        <v>30</v>
      </c>
    </row>
    <row r="69" ht="22.5" customHeight="1">
      <c r="A69" s="8" t="s">
        <v>425</v>
      </c>
      <c r="B69" s="8" t="s">
        <v>426</v>
      </c>
      <c r="C69" s="13" t="s">
        <v>427</v>
      </c>
      <c r="D69" s="8" t="s">
        <v>428</v>
      </c>
      <c r="E69" s="8" t="s">
        <v>429</v>
      </c>
      <c r="F69" s="12" t="s">
        <v>120</v>
      </c>
      <c r="G69" s="12" t="s">
        <v>39</v>
      </c>
      <c r="H69" s="12" t="s">
        <v>217</v>
      </c>
      <c r="I69" s="12" t="s">
        <v>65</v>
      </c>
      <c r="J69" s="14">
        <v>3000.0</v>
      </c>
      <c r="K69" s="15">
        <v>46031.0</v>
      </c>
      <c r="L69" s="15">
        <v>46043.0</v>
      </c>
      <c r="M69" s="8" t="s">
        <v>95</v>
      </c>
    </row>
    <row r="70" ht="22.5" customHeight="1">
      <c r="A70" s="8" t="s">
        <v>431</v>
      </c>
      <c r="B70" s="8" t="s">
        <v>432</v>
      </c>
      <c r="C70" s="13" t="s">
        <v>433</v>
      </c>
      <c r="D70" s="8" t="s">
        <v>434</v>
      </c>
      <c r="F70" s="12" t="s">
        <v>47</v>
      </c>
      <c r="G70" s="12" t="s">
        <v>133</v>
      </c>
      <c r="H70" s="12" t="s">
        <v>28</v>
      </c>
      <c r="I70" s="12" t="s">
        <v>134</v>
      </c>
      <c r="J70" s="14">
        <v>2500.0</v>
      </c>
      <c r="K70" s="15">
        <v>46125.0</v>
      </c>
      <c r="L70" s="15">
        <v>46150.0</v>
      </c>
      <c r="M70" s="8" t="s">
        <v>30</v>
      </c>
    </row>
    <row r="71" ht="22.5" customHeight="1">
      <c r="A71" s="8" t="s">
        <v>435</v>
      </c>
      <c r="B71" s="8" t="s">
        <v>436</v>
      </c>
      <c r="C71" s="13" t="s">
        <v>437</v>
      </c>
      <c r="D71" s="8" t="s">
        <v>438</v>
      </c>
      <c r="E71" s="8" t="s">
        <v>439</v>
      </c>
      <c r="F71" s="12" t="s">
        <v>220</v>
      </c>
      <c r="G71" s="12" t="s">
        <v>133</v>
      </c>
      <c r="H71" s="12" t="s">
        <v>40</v>
      </c>
      <c r="I71" s="12" t="s">
        <v>65</v>
      </c>
      <c r="J71" s="14">
        <v>350.0</v>
      </c>
      <c r="K71" s="15">
        <v>46223.0</v>
      </c>
      <c r="L71" s="15">
        <v>46248.0</v>
      </c>
      <c r="M71" s="8" t="s">
        <v>30</v>
      </c>
    </row>
    <row r="72" ht="22.5" customHeight="1">
      <c r="A72" s="8" t="s">
        <v>440</v>
      </c>
      <c r="B72" s="8" t="s">
        <v>441</v>
      </c>
      <c r="C72" s="13" t="s">
        <v>442</v>
      </c>
      <c r="E72" s="8" t="s">
        <v>443</v>
      </c>
      <c r="F72" s="12" t="s">
        <v>216</v>
      </c>
      <c r="G72" s="12" t="s">
        <v>39</v>
      </c>
      <c r="H72" s="12" t="s">
        <v>28</v>
      </c>
      <c r="I72" s="12" t="s">
        <v>29</v>
      </c>
      <c r="J72" s="14">
        <v>4500.0</v>
      </c>
      <c r="K72" s="15">
        <v>46085.0</v>
      </c>
      <c r="L72" s="15">
        <v>46117.0</v>
      </c>
      <c r="M72" s="8" t="s">
        <v>107</v>
      </c>
    </row>
    <row r="73" ht="22.5" customHeight="1">
      <c r="A73" s="8" t="s">
        <v>444</v>
      </c>
      <c r="B73" s="8" t="s">
        <v>445</v>
      </c>
      <c r="C73" s="13" t="s">
        <v>446</v>
      </c>
      <c r="D73" s="8" t="s">
        <v>447</v>
      </c>
      <c r="E73" s="8" t="s">
        <v>448</v>
      </c>
      <c r="F73" s="12" t="s">
        <v>283</v>
      </c>
      <c r="G73" s="12" t="s">
        <v>48</v>
      </c>
      <c r="H73" s="12" t="s">
        <v>76</v>
      </c>
      <c r="I73" s="12" t="s">
        <v>50</v>
      </c>
      <c r="J73" s="14">
        <v>2000.0</v>
      </c>
      <c r="K73" s="15">
        <v>46197.0</v>
      </c>
      <c r="L73" s="15">
        <v>46199.0</v>
      </c>
      <c r="M73" s="8" t="s">
        <v>41</v>
      </c>
    </row>
    <row r="74" ht="22.5" customHeight="1">
      <c r="A74" s="8" t="s">
        <v>449</v>
      </c>
      <c r="B74" s="8" t="s">
        <v>450</v>
      </c>
      <c r="C74" s="13" t="s">
        <v>451</v>
      </c>
      <c r="D74" s="8" t="s">
        <v>452</v>
      </c>
      <c r="E74" s="8" t="s">
        <v>453</v>
      </c>
      <c r="F74" s="12" t="s">
        <v>1027</v>
      </c>
      <c r="G74" s="12" t="s">
        <v>27</v>
      </c>
      <c r="H74" s="12" t="s">
        <v>40</v>
      </c>
      <c r="I74" s="12" t="s">
        <v>58</v>
      </c>
      <c r="J74" s="14">
        <v>500.0</v>
      </c>
      <c r="K74" s="15">
        <v>46150.0</v>
      </c>
      <c r="L74" s="15">
        <v>46194.0</v>
      </c>
      <c r="M74" s="8" t="s">
        <v>95</v>
      </c>
    </row>
    <row r="75" ht="22.5" customHeight="1">
      <c r="A75" s="8" t="s">
        <v>455</v>
      </c>
      <c r="B75" s="8" t="s">
        <v>456</v>
      </c>
      <c r="C75" s="13" t="s">
        <v>457</v>
      </c>
      <c r="D75" s="8" t="s">
        <v>458</v>
      </c>
      <c r="E75" s="8" t="s">
        <v>288</v>
      </c>
      <c r="F75" s="12" t="s">
        <v>283</v>
      </c>
      <c r="G75" s="12" t="s">
        <v>39</v>
      </c>
      <c r="H75" s="12" t="s">
        <v>40</v>
      </c>
      <c r="I75" s="12" t="s">
        <v>134</v>
      </c>
      <c r="J75" s="14">
        <v>750.0</v>
      </c>
      <c r="K75" s="15">
        <v>46061.0</v>
      </c>
      <c r="L75" s="15">
        <v>46069.0</v>
      </c>
      <c r="M75" s="8" t="s">
        <v>107</v>
      </c>
    </row>
    <row r="76" ht="22.5" customHeight="1">
      <c r="A76" s="8" t="s">
        <v>459</v>
      </c>
      <c r="B76" s="8" t="s">
        <v>460</v>
      </c>
      <c r="C76" s="13" t="s">
        <v>461</v>
      </c>
      <c r="E76" s="8" t="s">
        <v>462</v>
      </c>
      <c r="F76" s="12" t="s">
        <v>283</v>
      </c>
      <c r="G76" s="12" t="s">
        <v>39</v>
      </c>
      <c r="H76" s="12" t="s">
        <v>28</v>
      </c>
      <c r="I76" s="12" t="s">
        <v>29</v>
      </c>
      <c r="J76" s="14">
        <v>2000.0</v>
      </c>
      <c r="K76" s="15">
        <v>46177.0</v>
      </c>
      <c r="L76" s="15">
        <v>46183.0</v>
      </c>
      <c r="M76" s="8" t="s">
        <v>30</v>
      </c>
    </row>
    <row r="77" ht="22.5" customHeight="1">
      <c r="A77" s="8" t="s">
        <v>463</v>
      </c>
      <c r="B77" s="8" t="s">
        <v>464</v>
      </c>
      <c r="C77" s="13" t="s">
        <v>465</v>
      </c>
      <c r="D77" s="8" t="s">
        <v>466</v>
      </c>
      <c r="E77" s="8" t="s">
        <v>332</v>
      </c>
      <c r="F77" s="12" t="s">
        <v>216</v>
      </c>
      <c r="G77" s="12" t="s">
        <v>57</v>
      </c>
      <c r="H77" s="12" t="s">
        <v>49</v>
      </c>
      <c r="I77" s="12" t="s">
        <v>1028</v>
      </c>
      <c r="J77" s="14">
        <v>2000.0</v>
      </c>
      <c r="K77" s="15">
        <v>46108.0</v>
      </c>
      <c r="L77" s="15">
        <v>46108.0</v>
      </c>
      <c r="M77" s="8" t="s">
        <v>107</v>
      </c>
    </row>
    <row r="78" ht="22.5" customHeight="1">
      <c r="A78" s="8" t="s">
        <v>467</v>
      </c>
      <c r="B78" s="8" t="s">
        <v>136</v>
      </c>
      <c r="C78" s="13" t="s">
        <v>468</v>
      </c>
      <c r="D78" s="8" t="s">
        <v>469</v>
      </c>
      <c r="E78" s="8" t="s">
        <v>392</v>
      </c>
      <c r="F78" s="12" t="s">
        <v>132</v>
      </c>
      <c r="G78" s="12" t="s">
        <v>57</v>
      </c>
      <c r="H78" s="12" t="s">
        <v>28</v>
      </c>
      <c r="I78" s="12" t="s">
        <v>58</v>
      </c>
      <c r="J78" s="14">
        <v>3000.0</v>
      </c>
      <c r="K78" s="15">
        <v>46033.0</v>
      </c>
      <c r="L78" s="15">
        <v>46075.0</v>
      </c>
      <c r="M78" s="8" t="s">
        <v>41</v>
      </c>
    </row>
    <row r="79" ht="22.5" customHeight="1">
      <c r="A79" s="8" t="s">
        <v>470</v>
      </c>
      <c r="B79" s="8" t="s">
        <v>471</v>
      </c>
      <c r="C79" s="13" t="s">
        <v>472</v>
      </c>
      <c r="D79" s="8" t="s">
        <v>473</v>
      </c>
      <c r="E79" s="8" t="s">
        <v>474</v>
      </c>
      <c r="F79" s="12" t="s">
        <v>132</v>
      </c>
      <c r="G79" s="12" t="s">
        <v>27</v>
      </c>
      <c r="H79" s="12" t="s">
        <v>76</v>
      </c>
      <c r="I79" s="12" t="s">
        <v>134</v>
      </c>
      <c r="J79" s="14">
        <v>350.0</v>
      </c>
      <c r="K79" s="15">
        <v>46250.0</v>
      </c>
      <c r="L79" s="15">
        <v>46262.0</v>
      </c>
      <c r="M79" s="8" t="s">
        <v>41</v>
      </c>
    </row>
    <row r="80" ht="22.5" customHeight="1">
      <c r="A80" s="8" t="s">
        <v>475</v>
      </c>
      <c r="B80" s="8" t="s">
        <v>476</v>
      </c>
      <c r="C80" s="13" t="s">
        <v>477</v>
      </c>
      <c r="D80" s="8" t="s">
        <v>478</v>
      </c>
      <c r="E80" s="8" t="s">
        <v>462</v>
      </c>
      <c r="F80" s="12" t="s">
        <v>132</v>
      </c>
      <c r="G80" s="12" t="s">
        <v>39</v>
      </c>
      <c r="H80" s="12" t="s">
        <v>76</v>
      </c>
      <c r="I80" s="12" t="s">
        <v>77</v>
      </c>
      <c r="J80" s="14">
        <v>4500.0</v>
      </c>
      <c r="K80" s="15">
        <v>46080.0</v>
      </c>
      <c r="L80" s="15">
        <v>46080.0</v>
      </c>
      <c r="M80" s="8" t="s">
        <v>95</v>
      </c>
    </row>
    <row r="81" ht="22.5" customHeight="1">
      <c r="A81" s="8" t="s">
        <v>479</v>
      </c>
      <c r="B81" s="8" t="s">
        <v>480</v>
      </c>
      <c r="C81" s="13" t="s">
        <v>481</v>
      </c>
      <c r="D81" s="8" t="s">
        <v>482</v>
      </c>
      <c r="E81" s="8" t="s">
        <v>483</v>
      </c>
      <c r="F81" s="12" t="s">
        <v>220</v>
      </c>
      <c r="G81" s="12" t="s">
        <v>133</v>
      </c>
      <c r="H81" s="12" t="s">
        <v>217</v>
      </c>
      <c r="I81" s="12" t="s">
        <v>58</v>
      </c>
      <c r="J81" s="14"/>
      <c r="K81" s="15">
        <v>46247.0</v>
      </c>
      <c r="L81" s="15">
        <v>46283.0</v>
      </c>
      <c r="M81" s="8" t="s">
        <v>95</v>
      </c>
    </row>
    <row r="82" ht="22.5" customHeight="1">
      <c r="A82" s="8" t="s">
        <v>484</v>
      </c>
      <c r="B82" s="8" t="s">
        <v>485</v>
      </c>
      <c r="C82" s="52"/>
      <c r="D82" s="8" t="s">
        <v>487</v>
      </c>
      <c r="E82" s="8" t="s">
        <v>488</v>
      </c>
      <c r="F82" s="12" t="s">
        <v>1029</v>
      </c>
      <c r="G82" s="12" t="s">
        <v>133</v>
      </c>
      <c r="H82" s="12" t="s">
        <v>76</v>
      </c>
      <c r="I82" s="12" t="s">
        <v>65</v>
      </c>
      <c r="J82" s="14">
        <v>500.0</v>
      </c>
      <c r="K82" s="15">
        <v>46060.0</v>
      </c>
      <c r="L82" s="15">
        <v>46097.0</v>
      </c>
      <c r="M82" s="8" t="s">
        <v>30</v>
      </c>
    </row>
    <row r="83" ht="22.5" customHeight="1">
      <c r="A83" s="8" t="s">
        <v>490</v>
      </c>
      <c r="B83" s="8" t="s">
        <v>491</v>
      </c>
      <c r="C83" s="13" t="s">
        <v>492</v>
      </c>
      <c r="D83" s="8" t="s">
        <v>493</v>
      </c>
      <c r="E83" s="8" t="s">
        <v>494</v>
      </c>
      <c r="F83" s="12" t="s">
        <v>38</v>
      </c>
      <c r="G83" s="12" t="s">
        <v>27</v>
      </c>
      <c r="H83" s="12" t="s">
        <v>28</v>
      </c>
      <c r="I83" s="12" t="s">
        <v>58</v>
      </c>
      <c r="J83" s="14">
        <v>4500.0</v>
      </c>
      <c r="K83" s="15">
        <v>46097.0</v>
      </c>
      <c r="L83" s="15">
        <v>46105.0</v>
      </c>
    </row>
    <row r="84" ht="22.5" customHeight="1">
      <c r="A84" s="8" t="s">
        <v>499</v>
      </c>
      <c r="B84" s="8" t="s">
        <v>500</v>
      </c>
      <c r="C84" s="13" t="s">
        <v>502</v>
      </c>
      <c r="D84" s="8" t="s">
        <v>508</v>
      </c>
      <c r="E84" s="8" t="s">
        <v>509</v>
      </c>
      <c r="F84" s="12" t="s">
        <v>1027</v>
      </c>
      <c r="G84" s="12" t="s">
        <v>133</v>
      </c>
      <c r="H84" s="12" t="s">
        <v>28</v>
      </c>
      <c r="I84" s="12" t="s">
        <v>77</v>
      </c>
      <c r="J84" s="14">
        <v>2000.0</v>
      </c>
      <c r="K84" s="15">
        <v>46107.0</v>
      </c>
      <c r="L84" s="15">
        <v>46136.0</v>
      </c>
      <c r="M84" s="8" t="s">
        <v>95</v>
      </c>
    </row>
    <row r="85" ht="22.5" customHeight="1">
      <c r="A85" s="8" t="s">
        <v>516</v>
      </c>
      <c r="B85" s="8" t="s">
        <v>517</v>
      </c>
      <c r="C85" s="13" t="s">
        <v>518</v>
      </c>
      <c r="D85" s="8" t="s">
        <v>522</v>
      </c>
      <c r="E85" s="8" t="s">
        <v>259</v>
      </c>
      <c r="F85" s="12" t="s">
        <v>1029</v>
      </c>
      <c r="G85" s="12" t="s">
        <v>48</v>
      </c>
      <c r="H85" s="12" t="s">
        <v>40</v>
      </c>
      <c r="I85" s="12" t="s">
        <v>1028</v>
      </c>
      <c r="J85" s="14">
        <v>3000.0</v>
      </c>
      <c r="K85" s="15">
        <v>46060.0</v>
      </c>
      <c r="L85" s="15">
        <v>46075.0</v>
      </c>
      <c r="M85" s="8" t="s">
        <v>66</v>
      </c>
    </row>
    <row r="86" ht="22.5" customHeight="1">
      <c r="A86" s="8" t="s">
        <v>530</v>
      </c>
      <c r="B86" s="8" t="s">
        <v>531</v>
      </c>
      <c r="C86" s="13" t="s">
        <v>532</v>
      </c>
      <c r="D86" s="8" t="s">
        <v>537</v>
      </c>
      <c r="E86" s="8" t="s">
        <v>167</v>
      </c>
      <c r="F86" s="12" t="s">
        <v>220</v>
      </c>
      <c r="G86" s="12" t="s">
        <v>27</v>
      </c>
      <c r="H86" s="12" t="s">
        <v>28</v>
      </c>
      <c r="I86" s="12" t="s">
        <v>58</v>
      </c>
      <c r="J86" s="14">
        <v>1500.0</v>
      </c>
      <c r="K86" s="15">
        <v>46214.0</v>
      </c>
      <c r="L86" s="15">
        <v>46255.0</v>
      </c>
      <c r="M86" s="8" t="s">
        <v>66</v>
      </c>
    </row>
    <row r="87" ht="22.5" customHeight="1">
      <c r="A87" s="8" t="s">
        <v>541</v>
      </c>
      <c r="B87" s="8" t="s">
        <v>542</v>
      </c>
      <c r="C87" s="13" t="s">
        <v>543</v>
      </c>
      <c r="D87" s="8" t="s">
        <v>544</v>
      </c>
      <c r="E87" s="8" t="s">
        <v>545</v>
      </c>
      <c r="F87" s="12" t="s">
        <v>201</v>
      </c>
      <c r="G87" s="12" t="s">
        <v>39</v>
      </c>
      <c r="H87" s="12" t="s">
        <v>217</v>
      </c>
      <c r="I87" s="12" t="s">
        <v>65</v>
      </c>
      <c r="J87" s="14">
        <v>1200.0</v>
      </c>
      <c r="K87" s="15">
        <v>46267.0</v>
      </c>
      <c r="L87" s="15">
        <v>46287.0</v>
      </c>
    </row>
    <row r="88" ht="22.5" customHeight="1">
      <c r="A88" s="8" t="s">
        <v>547</v>
      </c>
      <c r="B88" s="8" t="s">
        <v>320</v>
      </c>
      <c r="C88" s="13" t="s">
        <v>548</v>
      </c>
      <c r="D88" s="8" t="s">
        <v>549</v>
      </c>
      <c r="F88" s="12" t="s">
        <v>175</v>
      </c>
      <c r="G88" s="12" t="s">
        <v>39</v>
      </c>
      <c r="H88" s="12" t="s">
        <v>49</v>
      </c>
      <c r="I88" s="12" t="s">
        <v>65</v>
      </c>
      <c r="J88" s="14">
        <v>2000.0</v>
      </c>
      <c r="K88" s="15">
        <v>46253.0</v>
      </c>
      <c r="L88" s="15">
        <v>46266.0</v>
      </c>
      <c r="M88" s="8" t="s">
        <v>41</v>
      </c>
    </row>
    <row r="89" ht="22.5" customHeight="1">
      <c r="A89" s="8" t="s">
        <v>550</v>
      </c>
      <c r="B89" s="8" t="s">
        <v>551</v>
      </c>
      <c r="C89" s="13" t="s">
        <v>552</v>
      </c>
      <c r="D89" s="8" t="s">
        <v>553</v>
      </c>
      <c r="E89" s="8" t="s">
        <v>554</v>
      </c>
      <c r="F89" s="12" t="s">
        <v>38</v>
      </c>
      <c r="G89" s="12" t="s">
        <v>133</v>
      </c>
      <c r="H89" s="12" t="s">
        <v>40</v>
      </c>
      <c r="I89" s="12" t="s">
        <v>29</v>
      </c>
      <c r="J89" s="14">
        <v>750.0</v>
      </c>
      <c r="K89" s="15">
        <v>46120.0</v>
      </c>
      <c r="L89" s="15">
        <v>46159.0</v>
      </c>
      <c r="M89" s="8" t="s">
        <v>66</v>
      </c>
    </row>
    <row r="90" ht="22.5" customHeight="1">
      <c r="A90" s="8" t="s">
        <v>555</v>
      </c>
      <c r="B90" s="8" t="s">
        <v>476</v>
      </c>
      <c r="C90" s="13" t="s">
        <v>556</v>
      </c>
      <c r="D90" s="8" t="s">
        <v>557</v>
      </c>
      <c r="E90" s="8" t="s">
        <v>112</v>
      </c>
      <c r="F90" s="12" t="s">
        <v>220</v>
      </c>
      <c r="G90" s="12" t="s">
        <v>48</v>
      </c>
      <c r="H90" s="12" t="s">
        <v>217</v>
      </c>
      <c r="I90" s="12" t="s">
        <v>77</v>
      </c>
      <c r="J90" s="14">
        <v>1500.0</v>
      </c>
      <c r="K90" s="15">
        <v>46080.0</v>
      </c>
      <c r="L90" s="15">
        <v>46113.0</v>
      </c>
      <c r="M90" s="8" t="s">
        <v>30</v>
      </c>
    </row>
    <row r="91" ht="22.5" customHeight="1">
      <c r="A91" s="8" t="s">
        <v>558</v>
      </c>
      <c r="B91" s="8" t="s">
        <v>559</v>
      </c>
      <c r="C91" s="13" t="s">
        <v>560</v>
      </c>
      <c r="D91" s="8" t="s">
        <v>561</v>
      </c>
      <c r="E91" s="8" t="s">
        <v>562</v>
      </c>
      <c r="F91" s="12" t="s">
        <v>140</v>
      </c>
      <c r="G91" s="12" t="s">
        <v>106</v>
      </c>
      <c r="H91" s="12" t="s">
        <v>40</v>
      </c>
      <c r="I91" s="12" t="s">
        <v>29</v>
      </c>
      <c r="J91" s="14">
        <v>2500.0</v>
      </c>
      <c r="K91" s="15">
        <v>46055.0</v>
      </c>
      <c r="L91" s="15">
        <v>46064.0</v>
      </c>
      <c r="M91" s="8" t="s">
        <v>66</v>
      </c>
    </row>
    <row r="92" ht="22.5" customHeight="1">
      <c r="A92" s="8" t="s">
        <v>563</v>
      </c>
      <c r="B92" s="8" t="s">
        <v>564</v>
      </c>
      <c r="C92" s="13" t="s">
        <v>565</v>
      </c>
      <c r="D92" s="8" t="s">
        <v>566</v>
      </c>
      <c r="E92" s="8" t="s">
        <v>453</v>
      </c>
      <c r="F92" s="12" t="s">
        <v>175</v>
      </c>
      <c r="G92" s="12" t="s">
        <v>27</v>
      </c>
      <c r="H92" s="12" t="s">
        <v>40</v>
      </c>
      <c r="I92" s="12" t="s">
        <v>58</v>
      </c>
      <c r="J92" s="14"/>
      <c r="K92" s="15">
        <v>46256.0</v>
      </c>
      <c r="L92" s="15">
        <v>46290.0</v>
      </c>
    </row>
    <row r="93" ht="22.5" customHeight="1">
      <c r="A93" s="8" t="s">
        <v>567</v>
      </c>
      <c r="B93" s="8" t="s">
        <v>568</v>
      </c>
      <c r="C93" s="13" t="s">
        <v>569</v>
      </c>
      <c r="D93" s="8" t="s">
        <v>570</v>
      </c>
      <c r="E93" s="8" t="s">
        <v>571</v>
      </c>
      <c r="F93" s="12" t="s">
        <v>283</v>
      </c>
      <c r="G93" s="12" t="s">
        <v>57</v>
      </c>
      <c r="H93" s="12" t="s">
        <v>217</v>
      </c>
      <c r="I93" s="12" t="s">
        <v>50</v>
      </c>
      <c r="J93" s="14"/>
      <c r="K93" s="15">
        <v>46043.0</v>
      </c>
      <c r="L93" s="15">
        <v>46051.0</v>
      </c>
      <c r="M93" s="8" t="s">
        <v>41</v>
      </c>
    </row>
    <row r="94" ht="22.5" customHeight="1">
      <c r="A94" s="8" t="s">
        <v>572</v>
      </c>
      <c r="B94" s="8" t="s">
        <v>573</v>
      </c>
      <c r="C94" s="13" t="s">
        <v>574</v>
      </c>
      <c r="D94" s="8" t="s">
        <v>575</v>
      </c>
      <c r="E94" s="8" t="s">
        <v>576</v>
      </c>
      <c r="F94" s="12" t="s">
        <v>120</v>
      </c>
      <c r="G94" s="12" t="s">
        <v>39</v>
      </c>
      <c r="H94" s="12" t="s">
        <v>217</v>
      </c>
      <c r="I94" s="12" t="s">
        <v>29</v>
      </c>
      <c r="J94" s="14">
        <v>2000.0</v>
      </c>
      <c r="K94" s="15">
        <v>46141.0</v>
      </c>
      <c r="L94" s="15">
        <v>46158.0</v>
      </c>
      <c r="M94" s="8" t="s">
        <v>30</v>
      </c>
    </row>
    <row r="95" ht="22.5" customHeight="1">
      <c r="A95" s="8" t="s">
        <v>578</v>
      </c>
      <c r="B95" s="8" t="s">
        <v>579</v>
      </c>
      <c r="C95" s="52"/>
      <c r="D95" s="8" t="s">
        <v>580</v>
      </c>
      <c r="E95" s="8" t="s">
        <v>581</v>
      </c>
      <c r="F95" s="12" t="s">
        <v>220</v>
      </c>
      <c r="G95" s="12" t="s">
        <v>57</v>
      </c>
      <c r="H95" s="12" t="s">
        <v>76</v>
      </c>
      <c r="I95" s="12" t="s">
        <v>77</v>
      </c>
      <c r="J95" s="14">
        <v>2000.0</v>
      </c>
      <c r="K95" s="15">
        <v>46041.0</v>
      </c>
      <c r="L95" s="15">
        <v>46061.0</v>
      </c>
      <c r="M95" s="8" t="s">
        <v>66</v>
      </c>
    </row>
    <row r="96" ht="22.5" customHeight="1">
      <c r="A96" s="8" t="s">
        <v>583</v>
      </c>
      <c r="B96" s="8" t="s">
        <v>584</v>
      </c>
      <c r="C96" s="13" t="s">
        <v>585</v>
      </c>
      <c r="D96" s="8" t="s">
        <v>586</v>
      </c>
      <c r="E96" s="8" t="s">
        <v>131</v>
      </c>
      <c r="F96" s="12" t="s">
        <v>47</v>
      </c>
      <c r="G96" s="12" t="s">
        <v>133</v>
      </c>
      <c r="H96" s="12" t="s">
        <v>40</v>
      </c>
      <c r="I96" s="12" t="s">
        <v>134</v>
      </c>
      <c r="J96" s="14">
        <v>1500.0</v>
      </c>
      <c r="K96" s="15">
        <v>46183.0</v>
      </c>
      <c r="L96" s="15">
        <v>46199.0</v>
      </c>
      <c r="M96" s="8" t="s">
        <v>107</v>
      </c>
    </row>
    <row r="97" ht="22.5" customHeight="1">
      <c r="A97" s="8" t="s">
        <v>587</v>
      </c>
      <c r="B97" s="8" t="s">
        <v>588</v>
      </c>
      <c r="C97" s="13" t="s">
        <v>589</v>
      </c>
      <c r="D97" s="8" t="s">
        <v>590</v>
      </c>
      <c r="E97" s="8" t="s">
        <v>591</v>
      </c>
      <c r="F97" s="12" t="s">
        <v>47</v>
      </c>
      <c r="G97" s="12" t="s">
        <v>57</v>
      </c>
      <c r="H97" s="12" t="s">
        <v>28</v>
      </c>
      <c r="I97" s="12" t="s">
        <v>29</v>
      </c>
      <c r="J97" s="14">
        <v>1200.0</v>
      </c>
      <c r="K97" s="15">
        <v>46232.0</v>
      </c>
      <c r="L97" s="15">
        <v>46254.0</v>
      </c>
    </row>
    <row r="98" ht="22.5" customHeight="1">
      <c r="A98" s="8" t="s">
        <v>592</v>
      </c>
      <c r="B98" s="8" t="s">
        <v>593</v>
      </c>
      <c r="C98" s="13" t="s">
        <v>594</v>
      </c>
      <c r="D98" s="8" t="s">
        <v>595</v>
      </c>
      <c r="E98" s="8" t="s">
        <v>100</v>
      </c>
      <c r="F98" s="12" t="s">
        <v>140</v>
      </c>
      <c r="G98" s="12" t="s">
        <v>39</v>
      </c>
      <c r="H98" s="12" t="s">
        <v>28</v>
      </c>
      <c r="I98" s="12" t="s">
        <v>29</v>
      </c>
      <c r="J98" s="14">
        <v>2500.0</v>
      </c>
      <c r="K98" s="15">
        <v>46131.0</v>
      </c>
      <c r="L98" s="15">
        <v>46160.0</v>
      </c>
      <c r="M98" s="8" t="s">
        <v>107</v>
      </c>
    </row>
    <row r="99" ht="22.5" customHeight="1">
      <c r="A99" s="8" t="s">
        <v>596</v>
      </c>
      <c r="B99" s="8" t="s">
        <v>369</v>
      </c>
      <c r="C99" s="13" t="s">
        <v>597</v>
      </c>
      <c r="D99" s="8" t="s">
        <v>598</v>
      </c>
      <c r="E99" s="8" t="s">
        <v>571</v>
      </c>
      <c r="F99" s="12" t="s">
        <v>47</v>
      </c>
      <c r="G99" s="12" t="s">
        <v>27</v>
      </c>
      <c r="H99" s="12" t="s">
        <v>217</v>
      </c>
      <c r="I99" s="12" t="s">
        <v>134</v>
      </c>
      <c r="J99" s="14">
        <v>2000.0</v>
      </c>
      <c r="K99" s="15">
        <v>46227.0</v>
      </c>
      <c r="L99" s="15">
        <v>46247.0</v>
      </c>
      <c r="M99" s="8" t="s">
        <v>41</v>
      </c>
    </row>
    <row r="100" ht="22.5" customHeight="1">
      <c r="A100" s="8" t="s">
        <v>599</v>
      </c>
      <c r="B100" s="8" t="s">
        <v>600</v>
      </c>
      <c r="C100" s="13" t="s">
        <v>601</v>
      </c>
      <c r="D100" s="8" t="s">
        <v>602</v>
      </c>
      <c r="E100" s="8" t="s">
        <v>603</v>
      </c>
      <c r="F100" s="12" t="s">
        <v>38</v>
      </c>
      <c r="G100" s="12" t="s">
        <v>106</v>
      </c>
      <c r="H100" s="12" t="s">
        <v>28</v>
      </c>
      <c r="I100" s="12" t="s">
        <v>65</v>
      </c>
      <c r="J100" s="14">
        <v>4500.0</v>
      </c>
      <c r="K100" s="15">
        <v>46075.0</v>
      </c>
      <c r="L100" s="15">
        <v>46099.0</v>
      </c>
      <c r="M100" s="8" t="s">
        <v>107</v>
      </c>
    </row>
    <row r="101" ht="22.5" customHeight="1">
      <c r="A101" s="8" t="s">
        <v>604</v>
      </c>
      <c r="B101" s="8" t="s">
        <v>605</v>
      </c>
      <c r="C101" s="13" t="s">
        <v>606</v>
      </c>
      <c r="D101" s="8" t="s">
        <v>607</v>
      </c>
      <c r="E101" s="8" t="s">
        <v>608</v>
      </c>
      <c r="F101" s="12" t="s">
        <v>1029</v>
      </c>
      <c r="G101" s="12" t="s">
        <v>133</v>
      </c>
      <c r="H101" s="12" t="s">
        <v>28</v>
      </c>
      <c r="I101" s="12" t="s">
        <v>609</v>
      </c>
      <c r="J101" s="14">
        <v>4500.0</v>
      </c>
      <c r="K101" s="15">
        <v>46157.0</v>
      </c>
      <c r="L101" s="15">
        <v>46184.0</v>
      </c>
    </row>
    <row r="102" ht="22.5" customHeight="1">
      <c r="A102" s="8" t="s">
        <v>610</v>
      </c>
      <c r="B102" s="8" t="s">
        <v>542</v>
      </c>
      <c r="C102" s="13" t="s">
        <v>611</v>
      </c>
      <c r="D102" s="8" t="s">
        <v>612</v>
      </c>
      <c r="E102" s="8" t="s">
        <v>237</v>
      </c>
      <c r="F102" s="12" t="s">
        <v>201</v>
      </c>
      <c r="G102" s="12" t="s">
        <v>39</v>
      </c>
      <c r="H102" s="12" t="s">
        <v>40</v>
      </c>
      <c r="I102" s="12" t="s">
        <v>50</v>
      </c>
      <c r="J102" s="14">
        <v>2500.0</v>
      </c>
      <c r="K102" s="15">
        <v>46112.0</v>
      </c>
      <c r="L102" s="15">
        <v>46123.0</v>
      </c>
      <c r="M102" s="8" t="s">
        <v>30</v>
      </c>
    </row>
    <row r="103" ht="22.5" customHeight="1">
      <c r="A103" s="8" t="s">
        <v>613</v>
      </c>
      <c r="B103" s="8" t="s">
        <v>614</v>
      </c>
      <c r="C103" s="13" t="s">
        <v>615</v>
      </c>
      <c r="D103" s="8" t="s">
        <v>616</v>
      </c>
      <c r="E103" s="8" t="s">
        <v>617</v>
      </c>
      <c r="F103" s="12" t="s">
        <v>38</v>
      </c>
      <c r="G103" s="12" t="s">
        <v>106</v>
      </c>
      <c r="H103" s="12" t="s">
        <v>40</v>
      </c>
      <c r="I103" s="12" t="s">
        <v>65</v>
      </c>
      <c r="J103" s="14">
        <v>900.0</v>
      </c>
      <c r="K103" s="15">
        <v>46247.0</v>
      </c>
      <c r="L103" s="15">
        <v>46290.0</v>
      </c>
      <c r="M103" s="8" t="s">
        <v>30</v>
      </c>
    </row>
    <row r="104" ht="22.5" customHeight="1">
      <c r="A104" s="8" t="s">
        <v>618</v>
      </c>
      <c r="B104" s="8" t="s">
        <v>619</v>
      </c>
      <c r="C104" s="13" t="s">
        <v>621</v>
      </c>
      <c r="D104" s="8" t="s">
        <v>622</v>
      </c>
      <c r="E104" s="8" t="s">
        <v>453</v>
      </c>
      <c r="F104" s="12" t="s">
        <v>220</v>
      </c>
      <c r="G104" s="12" t="s">
        <v>48</v>
      </c>
      <c r="H104" s="12" t="s">
        <v>76</v>
      </c>
      <c r="I104" s="12" t="s">
        <v>77</v>
      </c>
      <c r="J104" s="14">
        <v>750.0</v>
      </c>
      <c r="K104" s="15">
        <v>46111.0</v>
      </c>
      <c r="L104" s="15">
        <v>46144.0</v>
      </c>
    </row>
    <row r="105" ht="22.5" customHeight="1">
      <c r="A105" s="8" t="s">
        <v>624</v>
      </c>
      <c r="B105" s="8" t="s">
        <v>625</v>
      </c>
      <c r="C105" s="13" t="s">
        <v>626</v>
      </c>
      <c r="D105" s="8" t="s">
        <v>627</v>
      </c>
      <c r="E105" s="8" t="s">
        <v>210</v>
      </c>
      <c r="F105" s="12" t="s">
        <v>283</v>
      </c>
      <c r="G105" s="12" t="s">
        <v>57</v>
      </c>
      <c r="H105" s="12" t="s">
        <v>40</v>
      </c>
      <c r="I105" s="12" t="s">
        <v>77</v>
      </c>
      <c r="J105" s="14">
        <v>900.0</v>
      </c>
      <c r="K105" s="15">
        <v>46087.0</v>
      </c>
      <c r="L105" s="15">
        <v>46107.0</v>
      </c>
      <c r="M105" s="8" t="s">
        <v>66</v>
      </c>
    </row>
    <row r="106" ht="22.5" customHeight="1">
      <c r="A106" s="8" t="s">
        <v>629</v>
      </c>
      <c r="B106" s="8" t="s">
        <v>630</v>
      </c>
      <c r="C106" s="13" t="s">
        <v>631</v>
      </c>
      <c r="D106" s="8" t="s">
        <v>633</v>
      </c>
      <c r="E106" s="8" t="s">
        <v>634</v>
      </c>
      <c r="F106" s="12" t="s">
        <v>38</v>
      </c>
      <c r="G106" s="12" t="s">
        <v>57</v>
      </c>
      <c r="H106" s="12" t="s">
        <v>49</v>
      </c>
      <c r="I106" s="12" t="s">
        <v>29</v>
      </c>
      <c r="J106" s="14">
        <v>3000.0</v>
      </c>
      <c r="K106" s="15">
        <v>46153.0</v>
      </c>
      <c r="L106" s="15">
        <v>46171.0</v>
      </c>
    </row>
    <row r="107" ht="22.5" customHeight="1">
      <c r="A107" s="8" t="s">
        <v>636</v>
      </c>
      <c r="B107" s="8" t="s">
        <v>637</v>
      </c>
      <c r="C107" s="13" t="s">
        <v>638</v>
      </c>
      <c r="D107" s="8" t="s">
        <v>639</v>
      </c>
      <c r="E107" s="8" t="s">
        <v>640</v>
      </c>
      <c r="F107" s="12" t="s">
        <v>1027</v>
      </c>
      <c r="G107" s="12" t="s">
        <v>106</v>
      </c>
      <c r="H107" s="12" t="s">
        <v>76</v>
      </c>
      <c r="I107" s="12" t="s">
        <v>58</v>
      </c>
      <c r="J107" s="14">
        <v>1500.0</v>
      </c>
      <c r="K107" s="15">
        <v>46062.0</v>
      </c>
      <c r="L107" s="15">
        <v>46064.0</v>
      </c>
      <c r="M107" s="8" t="s">
        <v>95</v>
      </c>
    </row>
    <row r="108" ht="22.5" customHeight="1">
      <c r="A108" s="8" t="s">
        <v>642</v>
      </c>
      <c r="B108" s="8" t="s">
        <v>373</v>
      </c>
      <c r="C108" s="13" t="s">
        <v>643</v>
      </c>
      <c r="D108" s="8" t="s">
        <v>644</v>
      </c>
      <c r="E108" s="8" t="s">
        <v>645</v>
      </c>
      <c r="F108" s="12" t="s">
        <v>47</v>
      </c>
      <c r="G108" s="12" t="s">
        <v>27</v>
      </c>
      <c r="H108" s="12" t="s">
        <v>217</v>
      </c>
      <c r="I108" s="12" t="s">
        <v>77</v>
      </c>
      <c r="J108" s="14">
        <v>750.0</v>
      </c>
      <c r="K108" s="15">
        <v>46082.0</v>
      </c>
      <c r="L108" s="15">
        <v>46092.0</v>
      </c>
      <c r="M108" s="8" t="s">
        <v>95</v>
      </c>
    </row>
    <row r="109" ht="22.5" customHeight="1">
      <c r="A109" s="8" t="s">
        <v>647</v>
      </c>
      <c r="B109" s="8" t="s">
        <v>648</v>
      </c>
      <c r="C109" s="13" t="s">
        <v>649</v>
      </c>
      <c r="D109" s="8" t="s">
        <v>651</v>
      </c>
      <c r="E109" s="8" t="s">
        <v>652</v>
      </c>
      <c r="F109" s="12" t="s">
        <v>38</v>
      </c>
      <c r="G109" s="12" t="s">
        <v>39</v>
      </c>
      <c r="H109" s="12" t="s">
        <v>49</v>
      </c>
      <c r="I109" s="12" t="s">
        <v>29</v>
      </c>
      <c r="J109" s="14">
        <v>900.0</v>
      </c>
      <c r="K109" s="15">
        <v>46143.0</v>
      </c>
      <c r="L109" s="15">
        <v>46160.0</v>
      </c>
      <c r="M109" s="8" t="s">
        <v>95</v>
      </c>
    </row>
    <row r="110" ht="22.5" customHeight="1">
      <c r="A110" s="8" t="s">
        <v>654</v>
      </c>
      <c r="B110" s="8" t="s">
        <v>655</v>
      </c>
      <c r="C110" s="13" t="s">
        <v>656</v>
      </c>
      <c r="D110" s="8" t="s">
        <v>657</v>
      </c>
      <c r="E110" s="8" t="s">
        <v>414</v>
      </c>
      <c r="F110" s="12" t="s">
        <v>1029</v>
      </c>
      <c r="G110" s="12" t="s">
        <v>106</v>
      </c>
      <c r="H110" s="12" t="s">
        <v>49</v>
      </c>
      <c r="I110" s="12" t="s">
        <v>134</v>
      </c>
      <c r="J110" s="14">
        <v>4500.0</v>
      </c>
      <c r="K110" s="15">
        <v>46042.0</v>
      </c>
      <c r="L110" s="15">
        <v>46042.0</v>
      </c>
      <c r="M110" s="8" t="s">
        <v>66</v>
      </c>
    </row>
    <row r="111" ht="22.5" customHeight="1">
      <c r="A111" s="8" t="s">
        <v>659</v>
      </c>
      <c r="B111" s="8" t="s">
        <v>660</v>
      </c>
      <c r="C111" s="52" t="s">
        <v>661</v>
      </c>
      <c r="D111" s="8" t="s">
        <v>663</v>
      </c>
      <c r="E111" s="8" t="s">
        <v>332</v>
      </c>
      <c r="F111" s="12" t="s">
        <v>220</v>
      </c>
      <c r="G111" s="12" t="s">
        <v>106</v>
      </c>
      <c r="H111" s="12" t="s">
        <v>40</v>
      </c>
      <c r="I111" s="12" t="s">
        <v>50</v>
      </c>
      <c r="J111" s="14">
        <v>750.0</v>
      </c>
      <c r="K111" s="15">
        <v>46264.0</v>
      </c>
      <c r="L111" s="15"/>
      <c r="M111" s="8" t="s">
        <v>95</v>
      </c>
    </row>
    <row r="112" ht="22.5" customHeight="1">
      <c r="A112" s="8" t="s">
        <v>666</v>
      </c>
      <c r="B112" s="8" t="s">
        <v>667</v>
      </c>
      <c r="C112" s="13" t="s">
        <v>668</v>
      </c>
      <c r="D112" s="8" t="s">
        <v>670</v>
      </c>
      <c r="E112" s="8" t="s">
        <v>671</v>
      </c>
      <c r="F112" s="12" t="s">
        <v>1029</v>
      </c>
      <c r="G112" s="12" t="s">
        <v>48</v>
      </c>
      <c r="H112" s="12" t="s">
        <v>28</v>
      </c>
      <c r="I112" s="12" t="s">
        <v>77</v>
      </c>
      <c r="J112" s="14">
        <v>2500.0</v>
      </c>
      <c r="K112" s="15">
        <v>46119.0</v>
      </c>
      <c r="L112" s="15">
        <v>46133.0</v>
      </c>
      <c r="M112" s="8" t="s">
        <v>41</v>
      </c>
    </row>
    <row r="113" ht="22.5" customHeight="1">
      <c r="A113" s="8" t="s">
        <v>672</v>
      </c>
      <c r="B113" s="8" t="s">
        <v>673</v>
      </c>
      <c r="C113" s="13" t="s">
        <v>674</v>
      </c>
      <c r="D113" s="8" t="s">
        <v>677</v>
      </c>
      <c r="E113" s="8" t="s">
        <v>414</v>
      </c>
      <c r="F113" s="12" t="s">
        <v>220</v>
      </c>
      <c r="G113" s="12" t="s">
        <v>57</v>
      </c>
      <c r="H113" s="12" t="s">
        <v>49</v>
      </c>
      <c r="I113" s="12" t="s">
        <v>77</v>
      </c>
      <c r="J113" s="14">
        <v>500.0</v>
      </c>
      <c r="K113" s="15">
        <v>46126.0</v>
      </c>
      <c r="L113" s="15">
        <v>46164.0</v>
      </c>
      <c r="M113" s="8" t="s">
        <v>95</v>
      </c>
    </row>
    <row r="114" ht="22.5" customHeight="1">
      <c r="A114" s="8" t="s">
        <v>679</v>
      </c>
      <c r="B114" s="8" t="s">
        <v>680</v>
      </c>
      <c r="C114" s="13" t="s">
        <v>681</v>
      </c>
      <c r="D114" s="8" t="s">
        <v>682</v>
      </c>
      <c r="E114" s="8" t="s">
        <v>683</v>
      </c>
      <c r="F114" s="12" t="s">
        <v>38</v>
      </c>
      <c r="G114" s="12" t="s">
        <v>27</v>
      </c>
      <c r="H114" s="12" t="s">
        <v>217</v>
      </c>
      <c r="I114" s="12" t="s">
        <v>134</v>
      </c>
      <c r="J114" s="14">
        <v>900.0</v>
      </c>
      <c r="K114" s="15">
        <v>46194.0</v>
      </c>
      <c r="L114" s="15">
        <v>46238.0</v>
      </c>
      <c r="M114" s="8" t="s">
        <v>107</v>
      </c>
    </row>
    <row r="115" ht="22.5" customHeight="1">
      <c r="A115" s="8" t="s">
        <v>684</v>
      </c>
      <c r="B115" s="8" t="s">
        <v>685</v>
      </c>
      <c r="C115" s="13" t="s">
        <v>686</v>
      </c>
      <c r="D115" s="8" t="s">
        <v>687</v>
      </c>
      <c r="E115" s="8" t="s">
        <v>55</v>
      </c>
      <c r="F115" s="12" t="s">
        <v>38</v>
      </c>
      <c r="G115" s="12" t="s">
        <v>48</v>
      </c>
      <c r="H115" s="12" t="s">
        <v>40</v>
      </c>
      <c r="I115" s="12" t="s">
        <v>58</v>
      </c>
      <c r="J115" s="14">
        <v>1500.0</v>
      </c>
      <c r="K115" s="15">
        <v>46205.0</v>
      </c>
      <c r="L115" s="15">
        <v>46235.0</v>
      </c>
    </row>
    <row r="116" ht="22.5" customHeight="1">
      <c r="A116" s="8" t="s">
        <v>688</v>
      </c>
      <c r="B116" s="8" t="s">
        <v>689</v>
      </c>
      <c r="C116" s="13" t="s">
        <v>690</v>
      </c>
      <c r="D116" s="8" t="s">
        <v>691</v>
      </c>
      <c r="E116" s="8" t="s">
        <v>692</v>
      </c>
      <c r="F116" s="12" t="s">
        <v>220</v>
      </c>
      <c r="G116" s="12" t="s">
        <v>133</v>
      </c>
      <c r="H116" s="12" t="s">
        <v>49</v>
      </c>
      <c r="I116" s="12" t="s">
        <v>77</v>
      </c>
      <c r="J116" s="14">
        <v>350.0</v>
      </c>
      <c r="K116" s="15">
        <v>46240.0</v>
      </c>
      <c r="L116" s="15">
        <v>46276.0</v>
      </c>
      <c r="M116" s="8" t="s">
        <v>107</v>
      </c>
    </row>
    <row r="117" ht="22.5" customHeight="1">
      <c r="A117" s="8" t="s">
        <v>693</v>
      </c>
      <c r="B117" s="8" t="s">
        <v>694</v>
      </c>
      <c r="C117" s="13" t="s">
        <v>695</v>
      </c>
      <c r="D117" s="8" t="s">
        <v>696</v>
      </c>
      <c r="F117" s="12" t="s">
        <v>140</v>
      </c>
      <c r="G117" s="12" t="s">
        <v>57</v>
      </c>
      <c r="H117" s="12" t="s">
        <v>40</v>
      </c>
      <c r="I117" s="12" t="s">
        <v>77</v>
      </c>
      <c r="J117" s="14">
        <v>1500.0</v>
      </c>
      <c r="K117" s="15">
        <v>46065.0</v>
      </c>
      <c r="L117" s="15">
        <v>46080.0</v>
      </c>
      <c r="M117" s="8" t="s">
        <v>41</v>
      </c>
    </row>
    <row r="118" ht="22.5" customHeight="1">
      <c r="A118" s="8" t="s">
        <v>697</v>
      </c>
      <c r="B118" s="8" t="s">
        <v>698</v>
      </c>
      <c r="C118" s="13" t="s">
        <v>699</v>
      </c>
      <c r="D118" s="8" t="s">
        <v>700</v>
      </c>
      <c r="E118" s="8" t="s">
        <v>125</v>
      </c>
      <c r="F118" s="12" t="s">
        <v>120</v>
      </c>
      <c r="G118" s="12" t="s">
        <v>48</v>
      </c>
      <c r="H118" s="12" t="s">
        <v>28</v>
      </c>
      <c r="I118" s="12" t="s">
        <v>50</v>
      </c>
      <c r="J118" s="14">
        <v>1500.0</v>
      </c>
      <c r="K118" s="15">
        <v>46078.0</v>
      </c>
      <c r="L118" s="15">
        <v>46106.0</v>
      </c>
      <c r="M118" s="8" t="s">
        <v>41</v>
      </c>
    </row>
    <row r="119" ht="22.5" customHeight="1">
      <c r="A119" s="8" t="s">
        <v>701</v>
      </c>
      <c r="B119" s="8" t="s">
        <v>702</v>
      </c>
      <c r="C119" s="13" t="s">
        <v>703</v>
      </c>
      <c r="D119" s="8" t="s">
        <v>704</v>
      </c>
      <c r="E119" s="8" t="s">
        <v>200</v>
      </c>
      <c r="F119" s="12" t="s">
        <v>201</v>
      </c>
      <c r="G119" s="12" t="s">
        <v>133</v>
      </c>
      <c r="H119" s="12" t="s">
        <v>217</v>
      </c>
      <c r="I119" s="12" t="s">
        <v>134</v>
      </c>
      <c r="J119" s="14">
        <v>1200.0</v>
      </c>
      <c r="K119" s="15">
        <v>46202.0</v>
      </c>
      <c r="L119" s="15">
        <v>46228.0</v>
      </c>
    </row>
    <row r="120" ht="22.5" customHeight="1">
      <c r="A120" s="8" t="s">
        <v>705</v>
      </c>
      <c r="B120" s="8" t="s">
        <v>706</v>
      </c>
      <c r="C120" s="13" t="s">
        <v>707</v>
      </c>
      <c r="D120" s="8" t="s">
        <v>708</v>
      </c>
      <c r="E120" s="8" t="s">
        <v>709</v>
      </c>
      <c r="F120" s="12" t="s">
        <v>132</v>
      </c>
      <c r="G120" s="12" t="s">
        <v>106</v>
      </c>
      <c r="H120" s="12" t="s">
        <v>28</v>
      </c>
      <c r="I120" s="12" t="s">
        <v>58</v>
      </c>
      <c r="J120" s="14">
        <v>500.0</v>
      </c>
      <c r="K120" s="15">
        <v>46204.0</v>
      </c>
      <c r="L120" s="15">
        <v>46204.0</v>
      </c>
    </row>
    <row r="121" ht="22.5" customHeight="1">
      <c r="A121" s="8" t="s">
        <v>710</v>
      </c>
      <c r="B121" s="8" t="s">
        <v>711</v>
      </c>
      <c r="C121" s="52"/>
      <c r="D121" s="8" t="s">
        <v>712</v>
      </c>
      <c r="E121" s="8" t="s">
        <v>713</v>
      </c>
      <c r="F121" s="12" t="s">
        <v>220</v>
      </c>
      <c r="G121" s="12" t="s">
        <v>106</v>
      </c>
      <c r="H121" s="12" t="s">
        <v>76</v>
      </c>
      <c r="I121" s="12" t="s">
        <v>134</v>
      </c>
      <c r="J121" s="14">
        <v>900.0</v>
      </c>
      <c r="K121" s="15">
        <v>46187.0</v>
      </c>
      <c r="L121" s="15">
        <v>46216.0</v>
      </c>
      <c r="M121" s="8" t="s">
        <v>107</v>
      </c>
    </row>
    <row r="122" ht="22.5" customHeight="1">
      <c r="A122" s="8" t="s">
        <v>714</v>
      </c>
      <c r="B122" s="8" t="s">
        <v>471</v>
      </c>
      <c r="C122" s="13" t="s">
        <v>715</v>
      </c>
      <c r="D122" s="8" t="s">
        <v>716</v>
      </c>
      <c r="E122" s="8" t="s">
        <v>717</v>
      </c>
      <c r="F122" s="12" t="s">
        <v>216</v>
      </c>
      <c r="G122" s="12" t="s">
        <v>57</v>
      </c>
      <c r="H122" s="12" t="s">
        <v>217</v>
      </c>
      <c r="I122" s="12" t="s">
        <v>65</v>
      </c>
      <c r="J122" s="14">
        <v>2000.0</v>
      </c>
      <c r="K122" s="15">
        <v>46178.0</v>
      </c>
      <c r="L122" s="15">
        <v>46201.0</v>
      </c>
    </row>
    <row r="123" ht="22.5" customHeight="1">
      <c r="A123" s="8" t="s">
        <v>718</v>
      </c>
      <c r="B123" s="8" t="s">
        <v>559</v>
      </c>
      <c r="C123" s="13" t="s">
        <v>719</v>
      </c>
      <c r="D123" s="8" t="s">
        <v>720</v>
      </c>
      <c r="E123" s="8" t="s">
        <v>161</v>
      </c>
      <c r="F123" s="12" t="s">
        <v>220</v>
      </c>
      <c r="G123" s="12" t="s">
        <v>133</v>
      </c>
      <c r="H123" s="12" t="s">
        <v>76</v>
      </c>
      <c r="I123" s="12" t="s">
        <v>29</v>
      </c>
      <c r="J123" s="14">
        <v>2500.0</v>
      </c>
      <c r="K123" s="15">
        <v>46071.0</v>
      </c>
      <c r="L123" s="15">
        <v>46103.0</v>
      </c>
      <c r="M123" s="8" t="s">
        <v>66</v>
      </c>
    </row>
    <row r="124" ht="22.5" customHeight="1">
      <c r="A124" s="8" t="s">
        <v>721</v>
      </c>
      <c r="B124" s="8" t="s">
        <v>722</v>
      </c>
      <c r="C124" s="13" t="s">
        <v>723</v>
      </c>
      <c r="D124" s="8" t="s">
        <v>724</v>
      </c>
      <c r="E124" s="8" t="s">
        <v>293</v>
      </c>
      <c r="F124" s="12" t="s">
        <v>38</v>
      </c>
      <c r="G124" s="12" t="s">
        <v>27</v>
      </c>
      <c r="H124" s="12" t="s">
        <v>76</v>
      </c>
      <c r="I124" s="12" t="s">
        <v>58</v>
      </c>
      <c r="J124" s="14">
        <v>4500.0</v>
      </c>
      <c r="K124" s="15">
        <v>46137.0</v>
      </c>
      <c r="L124" s="15">
        <v>46154.0</v>
      </c>
      <c r="M124" s="8" t="s">
        <v>41</v>
      </c>
    </row>
    <row r="125" ht="22.5" customHeight="1">
      <c r="A125" s="8" t="s">
        <v>725</v>
      </c>
      <c r="B125" s="8" t="s">
        <v>726</v>
      </c>
      <c r="C125" s="13" t="s">
        <v>727</v>
      </c>
      <c r="D125" s="8" t="s">
        <v>728</v>
      </c>
      <c r="E125" s="8" t="s">
        <v>419</v>
      </c>
      <c r="F125" s="12" t="s">
        <v>132</v>
      </c>
      <c r="G125" s="12" t="s">
        <v>57</v>
      </c>
      <c r="H125" s="12" t="s">
        <v>40</v>
      </c>
      <c r="I125" s="12" t="s">
        <v>50</v>
      </c>
      <c r="J125" s="14">
        <v>350.0</v>
      </c>
      <c r="K125" s="15">
        <v>46230.0</v>
      </c>
      <c r="L125" s="15"/>
      <c r="M125" s="8" t="s">
        <v>107</v>
      </c>
    </row>
    <row r="126" ht="22.5" customHeight="1">
      <c r="A126" s="8" t="s">
        <v>729</v>
      </c>
      <c r="B126" s="8" t="s">
        <v>730</v>
      </c>
      <c r="C126" s="13" t="s">
        <v>731</v>
      </c>
      <c r="D126" s="8" t="s">
        <v>732</v>
      </c>
      <c r="E126" s="8" t="s">
        <v>332</v>
      </c>
      <c r="F126" s="12" t="s">
        <v>283</v>
      </c>
      <c r="G126" s="12" t="s">
        <v>57</v>
      </c>
      <c r="H126" s="12" t="s">
        <v>49</v>
      </c>
      <c r="I126" s="12" t="s">
        <v>134</v>
      </c>
      <c r="J126" s="14">
        <v>750.0</v>
      </c>
      <c r="K126" s="15">
        <v>46139.0</v>
      </c>
      <c r="L126" s="15">
        <v>46161.0</v>
      </c>
      <c r="M126" s="8" t="s">
        <v>30</v>
      </c>
    </row>
    <row r="127" ht="22.5" customHeight="1">
      <c r="A127" s="8" t="s">
        <v>733</v>
      </c>
      <c r="B127" s="8" t="s">
        <v>279</v>
      </c>
      <c r="C127" s="13" t="s">
        <v>734</v>
      </c>
      <c r="D127" s="8" t="s">
        <v>735</v>
      </c>
      <c r="E127" s="8" t="s">
        <v>100</v>
      </c>
      <c r="F127" s="12" t="s">
        <v>38</v>
      </c>
      <c r="G127" s="12" t="s">
        <v>39</v>
      </c>
      <c r="H127" s="12" t="s">
        <v>76</v>
      </c>
      <c r="I127" s="12" t="s">
        <v>29</v>
      </c>
      <c r="J127" s="14">
        <v>750.0</v>
      </c>
      <c r="K127" s="15">
        <v>46058.0</v>
      </c>
      <c r="L127" s="15">
        <v>46091.0</v>
      </c>
    </row>
    <row r="128" ht="22.5" customHeight="1">
      <c r="A128" s="8" t="s">
        <v>736</v>
      </c>
      <c r="B128" s="8" t="s">
        <v>737</v>
      </c>
      <c r="C128" s="13" t="s">
        <v>738</v>
      </c>
      <c r="D128" s="8" t="s">
        <v>739</v>
      </c>
      <c r="E128" s="8" t="s">
        <v>740</v>
      </c>
      <c r="F128" s="12" t="s">
        <v>201</v>
      </c>
      <c r="G128" s="12" t="s">
        <v>106</v>
      </c>
      <c r="H128" s="12" t="s">
        <v>40</v>
      </c>
      <c r="I128" s="12" t="s">
        <v>58</v>
      </c>
      <c r="J128" s="14">
        <v>1200.0</v>
      </c>
      <c r="K128" s="15">
        <v>46218.0</v>
      </c>
      <c r="L128" s="15">
        <v>46221.0</v>
      </c>
      <c r="M128" s="8" t="s">
        <v>95</v>
      </c>
    </row>
    <row r="129" ht="22.5" customHeight="1">
      <c r="A129" s="8" t="s">
        <v>741</v>
      </c>
      <c r="B129" s="8" t="s">
        <v>742</v>
      </c>
      <c r="C129" s="13" t="s">
        <v>743</v>
      </c>
      <c r="D129" s="8" t="s">
        <v>744</v>
      </c>
      <c r="E129" s="8" t="s">
        <v>745</v>
      </c>
      <c r="F129" s="12" t="s">
        <v>38</v>
      </c>
      <c r="G129" s="12" t="s">
        <v>106</v>
      </c>
      <c r="H129" s="12" t="s">
        <v>49</v>
      </c>
      <c r="I129" s="12" t="s">
        <v>65</v>
      </c>
      <c r="J129" s="14">
        <v>3000.0</v>
      </c>
      <c r="K129" s="15">
        <v>46152.0</v>
      </c>
      <c r="L129" s="15">
        <v>46195.0</v>
      </c>
      <c r="M129" s="8" t="s">
        <v>66</v>
      </c>
    </row>
    <row r="130" ht="22.5" customHeight="1">
      <c r="A130" s="8" t="s">
        <v>746</v>
      </c>
      <c r="B130" s="8" t="s">
        <v>747</v>
      </c>
      <c r="C130" s="13" t="s">
        <v>748</v>
      </c>
      <c r="D130" s="8" t="s">
        <v>750</v>
      </c>
      <c r="E130" s="8" t="s">
        <v>751</v>
      </c>
      <c r="F130" s="12" t="s">
        <v>175</v>
      </c>
      <c r="G130" s="12" t="s">
        <v>27</v>
      </c>
      <c r="H130" s="12" t="s">
        <v>49</v>
      </c>
      <c r="I130" s="12" t="s">
        <v>65</v>
      </c>
      <c r="J130" s="14">
        <v>2000.0</v>
      </c>
      <c r="K130" s="15">
        <v>46144.0</v>
      </c>
      <c r="L130" s="15">
        <v>46155.0</v>
      </c>
      <c r="M130" s="8" t="s">
        <v>95</v>
      </c>
    </row>
    <row r="131" ht="22.5" customHeight="1">
      <c r="A131" s="8" t="s">
        <v>752</v>
      </c>
      <c r="B131" s="8" t="s">
        <v>753</v>
      </c>
      <c r="C131" s="13" t="s">
        <v>754</v>
      </c>
      <c r="D131" s="8" t="s">
        <v>755</v>
      </c>
      <c r="E131" s="8" t="s">
        <v>483</v>
      </c>
      <c r="F131" s="12" t="s">
        <v>201</v>
      </c>
      <c r="G131" s="12" t="s">
        <v>57</v>
      </c>
      <c r="H131" s="12" t="s">
        <v>217</v>
      </c>
      <c r="I131" s="12" t="s">
        <v>134</v>
      </c>
      <c r="J131" s="14">
        <v>1500.0</v>
      </c>
      <c r="K131" s="15">
        <v>46102.0</v>
      </c>
      <c r="L131" s="15">
        <v>46117.0</v>
      </c>
      <c r="M131" s="8" t="s">
        <v>30</v>
      </c>
    </row>
    <row r="132" ht="22.5" customHeight="1">
      <c r="A132" s="8" t="s">
        <v>756</v>
      </c>
      <c r="B132" s="8" t="s">
        <v>234</v>
      </c>
      <c r="C132" s="13" t="s">
        <v>757</v>
      </c>
      <c r="D132" s="8" t="s">
        <v>759</v>
      </c>
      <c r="E132" s="8" t="s">
        <v>760</v>
      </c>
      <c r="F132" s="12" t="s">
        <v>283</v>
      </c>
      <c r="G132" s="12" t="s">
        <v>106</v>
      </c>
      <c r="H132" s="12" t="s">
        <v>40</v>
      </c>
      <c r="I132" s="12" t="s">
        <v>29</v>
      </c>
      <c r="J132" s="14"/>
      <c r="K132" s="15">
        <v>46156.0</v>
      </c>
      <c r="L132" s="15">
        <v>46174.0</v>
      </c>
      <c r="M132" s="8" t="s">
        <v>95</v>
      </c>
    </row>
    <row r="133" ht="22.5" customHeight="1">
      <c r="A133" s="8" t="s">
        <v>764</v>
      </c>
      <c r="B133" s="8" t="s">
        <v>300</v>
      </c>
      <c r="C133" s="13" t="s">
        <v>765</v>
      </c>
      <c r="D133" s="8" t="s">
        <v>768</v>
      </c>
      <c r="E133" s="8" t="s">
        <v>769</v>
      </c>
      <c r="F133" s="12" t="s">
        <v>283</v>
      </c>
      <c r="G133" s="12" t="s">
        <v>133</v>
      </c>
      <c r="H133" s="12" t="s">
        <v>49</v>
      </c>
      <c r="I133" s="12" t="s">
        <v>77</v>
      </c>
      <c r="J133" s="14">
        <v>350.0</v>
      </c>
      <c r="K133" s="15">
        <v>46156.0</v>
      </c>
      <c r="L133" s="15">
        <v>46159.0</v>
      </c>
      <c r="M133" s="8" t="s">
        <v>30</v>
      </c>
    </row>
    <row r="134" ht="22.5" customHeight="1">
      <c r="A134" s="8" t="s">
        <v>772</v>
      </c>
      <c r="B134" s="8" t="s">
        <v>773</v>
      </c>
      <c r="C134" s="13" t="s">
        <v>774</v>
      </c>
      <c r="D134" s="8" t="s">
        <v>778</v>
      </c>
      <c r="E134" s="8" t="s">
        <v>779</v>
      </c>
      <c r="F134" s="12" t="s">
        <v>220</v>
      </c>
      <c r="G134" s="12" t="s">
        <v>48</v>
      </c>
      <c r="H134" s="12" t="s">
        <v>49</v>
      </c>
      <c r="I134" s="12" t="s">
        <v>134</v>
      </c>
      <c r="J134" s="14">
        <v>4500.0</v>
      </c>
      <c r="K134" s="15">
        <v>46155.0</v>
      </c>
      <c r="L134" s="15">
        <v>46197.0</v>
      </c>
      <c r="M134" s="8" t="s">
        <v>66</v>
      </c>
    </row>
    <row r="135" ht="22.5" customHeight="1">
      <c r="A135" s="8" t="s">
        <v>780</v>
      </c>
      <c r="B135" s="8" t="s">
        <v>781</v>
      </c>
      <c r="C135" s="13" t="s">
        <v>782</v>
      </c>
      <c r="D135" s="8" t="s">
        <v>783</v>
      </c>
      <c r="E135" s="8" t="s">
        <v>184</v>
      </c>
      <c r="F135" s="12" t="s">
        <v>1029</v>
      </c>
      <c r="G135" s="12" t="s">
        <v>57</v>
      </c>
      <c r="H135" s="12" t="s">
        <v>76</v>
      </c>
      <c r="I135" s="12" t="s">
        <v>77</v>
      </c>
      <c r="J135" s="14">
        <v>500.0</v>
      </c>
      <c r="K135" s="15">
        <v>46249.0</v>
      </c>
      <c r="L135" s="15">
        <v>46259.0</v>
      </c>
    </row>
    <row r="136" ht="22.5" customHeight="1">
      <c r="A136" s="8" t="s">
        <v>784</v>
      </c>
      <c r="B136" s="8" t="s">
        <v>785</v>
      </c>
      <c r="C136" s="52"/>
      <c r="D136" s="8" t="s">
        <v>786</v>
      </c>
      <c r="E136" s="8" t="s">
        <v>562</v>
      </c>
      <c r="F136" s="12" t="s">
        <v>38</v>
      </c>
      <c r="G136" s="12" t="s">
        <v>106</v>
      </c>
      <c r="H136" s="12" t="s">
        <v>40</v>
      </c>
      <c r="I136" s="12" t="s">
        <v>50</v>
      </c>
      <c r="J136" s="14">
        <v>1200.0</v>
      </c>
      <c r="K136" s="15">
        <v>46226.0</v>
      </c>
      <c r="L136" s="15">
        <v>46259.0</v>
      </c>
      <c r="M136" s="8" t="s">
        <v>107</v>
      </c>
    </row>
    <row r="137" ht="22.5" customHeight="1">
      <c r="A137" s="8" t="s">
        <v>787</v>
      </c>
      <c r="B137" s="8" t="s">
        <v>219</v>
      </c>
      <c r="C137" s="13" t="s">
        <v>788</v>
      </c>
      <c r="D137" s="8" t="s">
        <v>789</v>
      </c>
      <c r="E137" s="8" t="s">
        <v>462</v>
      </c>
      <c r="F137" s="12" t="s">
        <v>140</v>
      </c>
      <c r="G137" s="12" t="s">
        <v>57</v>
      </c>
      <c r="H137" s="12" t="s">
        <v>49</v>
      </c>
      <c r="I137" s="12" t="s">
        <v>58</v>
      </c>
      <c r="J137" s="14"/>
      <c r="K137" s="15">
        <v>46208.0</v>
      </c>
      <c r="L137" s="15">
        <v>46245.0</v>
      </c>
      <c r="M137" s="8" t="s">
        <v>30</v>
      </c>
    </row>
    <row r="138" ht="22.5" customHeight="1">
      <c r="A138" s="8" t="s">
        <v>790</v>
      </c>
      <c r="B138" s="8" t="s">
        <v>791</v>
      </c>
      <c r="C138" s="13" t="s">
        <v>792</v>
      </c>
      <c r="D138" s="8" t="s">
        <v>793</v>
      </c>
      <c r="E138" s="8" t="s">
        <v>228</v>
      </c>
      <c r="F138" s="12" t="s">
        <v>216</v>
      </c>
      <c r="G138" s="12" t="s">
        <v>133</v>
      </c>
      <c r="H138" s="12" t="s">
        <v>40</v>
      </c>
      <c r="I138" s="12" t="s">
        <v>65</v>
      </c>
      <c r="J138" s="14"/>
      <c r="K138" s="15">
        <v>46226.0</v>
      </c>
      <c r="L138" s="15">
        <v>46238.0</v>
      </c>
      <c r="M138" s="8" t="s">
        <v>30</v>
      </c>
    </row>
    <row r="139" ht="22.5" customHeight="1">
      <c r="A139" s="8" t="s">
        <v>794</v>
      </c>
      <c r="B139" s="8" t="s">
        <v>795</v>
      </c>
      <c r="C139" s="13" t="s">
        <v>796</v>
      </c>
      <c r="D139" s="8" t="s">
        <v>797</v>
      </c>
      <c r="E139" s="8" t="s">
        <v>332</v>
      </c>
      <c r="F139" s="12" t="s">
        <v>132</v>
      </c>
      <c r="G139" s="12" t="s">
        <v>57</v>
      </c>
      <c r="H139" s="12" t="s">
        <v>217</v>
      </c>
      <c r="I139" s="12" t="s">
        <v>65</v>
      </c>
      <c r="J139" s="14">
        <v>750.0</v>
      </c>
      <c r="K139" s="15">
        <v>46198.0</v>
      </c>
      <c r="L139" s="15">
        <v>46236.0</v>
      </c>
      <c r="M139" s="8" t="s">
        <v>41</v>
      </c>
    </row>
    <row r="140" ht="22.5" customHeight="1">
      <c r="A140" s="8" t="s">
        <v>798</v>
      </c>
      <c r="B140" s="8" t="s">
        <v>799</v>
      </c>
      <c r="C140" s="13" t="s">
        <v>800</v>
      </c>
      <c r="D140" s="8" t="s">
        <v>801</v>
      </c>
      <c r="E140" s="8" t="s">
        <v>145</v>
      </c>
      <c r="F140" s="12" t="s">
        <v>47</v>
      </c>
      <c r="G140" s="12" t="s">
        <v>27</v>
      </c>
      <c r="H140" s="12" t="s">
        <v>49</v>
      </c>
      <c r="I140" s="12" t="s">
        <v>134</v>
      </c>
      <c r="J140" s="14">
        <v>4500.0</v>
      </c>
      <c r="K140" s="15">
        <v>46085.0</v>
      </c>
      <c r="L140" s="15">
        <v>46111.0</v>
      </c>
      <c r="M140" s="8" t="s">
        <v>66</v>
      </c>
    </row>
    <row r="141" ht="22.5" customHeight="1">
      <c r="A141" s="8" t="s">
        <v>802</v>
      </c>
      <c r="B141" s="8" t="s">
        <v>803</v>
      </c>
      <c r="C141" s="13" t="s">
        <v>804</v>
      </c>
      <c r="D141" s="8" t="s">
        <v>805</v>
      </c>
      <c r="E141" s="8" t="s">
        <v>112</v>
      </c>
      <c r="F141" s="12" t="s">
        <v>220</v>
      </c>
      <c r="G141" s="12" t="s">
        <v>133</v>
      </c>
      <c r="H141" s="12" t="s">
        <v>76</v>
      </c>
      <c r="I141" s="12" t="s">
        <v>65</v>
      </c>
      <c r="J141" s="14">
        <v>350.0</v>
      </c>
      <c r="K141" s="15">
        <v>46089.0</v>
      </c>
      <c r="L141" s="15">
        <v>46098.0</v>
      </c>
      <c r="M141" s="8" t="s">
        <v>41</v>
      </c>
    </row>
    <row r="142" ht="22.5" customHeight="1">
      <c r="A142" s="8" t="s">
        <v>806</v>
      </c>
      <c r="B142" s="8" t="s">
        <v>807</v>
      </c>
      <c r="C142" s="52" t="s">
        <v>808</v>
      </c>
      <c r="D142" s="8" t="s">
        <v>809</v>
      </c>
      <c r="E142" s="8" t="s">
        <v>215</v>
      </c>
      <c r="F142" s="12" t="s">
        <v>47</v>
      </c>
      <c r="G142" s="12" t="s">
        <v>133</v>
      </c>
      <c r="H142" s="12" t="s">
        <v>49</v>
      </c>
      <c r="I142" s="12" t="s">
        <v>1028</v>
      </c>
      <c r="J142" s="14">
        <v>2500.0</v>
      </c>
      <c r="K142" s="15">
        <v>46228.0</v>
      </c>
      <c r="L142" s="15">
        <v>46239.0</v>
      </c>
      <c r="M142" s="8" t="s">
        <v>41</v>
      </c>
    </row>
    <row r="143" ht="22.5" customHeight="1">
      <c r="A143" s="8" t="s">
        <v>810</v>
      </c>
      <c r="B143" s="8" t="s">
        <v>811</v>
      </c>
      <c r="C143" s="52"/>
      <c r="D143" s="8" t="s">
        <v>812</v>
      </c>
      <c r="E143" s="8" t="s">
        <v>173</v>
      </c>
      <c r="F143" s="12" t="s">
        <v>220</v>
      </c>
      <c r="G143" s="12" t="s">
        <v>27</v>
      </c>
      <c r="H143" s="12" t="s">
        <v>49</v>
      </c>
      <c r="I143" s="12" t="s">
        <v>50</v>
      </c>
      <c r="J143" s="14">
        <v>2000.0</v>
      </c>
      <c r="K143" s="15">
        <v>46227.0</v>
      </c>
      <c r="L143" s="15">
        <v>46240.0</v>
      </c>
      <c r="M143" s="8" t="s">
        <v>30</v>
      </c>
    </row>
    <row r="144" ht="22.5" customHeight="1">
      <c r="A144" s="8" t="s">
        <v>813</v>
      </c>
      <c r="B144" s="8" t="s">
        <v>667</v>
      </c>
      <c r="C144" s="13" t="s">
        <v>814</v>
      </c>
      <c r="D144" s="8" t="s">
        <v>815</v>
      </c>
      <c r="E144" s="8" t="s">
        <v>816</v>
      </c>
      <c r="F144" s="12" t="s">
        <v>132</v>
      </c>
      <c r="G144" s="12" t="s">
        <v>57</v>
      </c>
      <c r="H144" s="12" t="s">
        <v>28</v>
      </c>
      <c r="I144" s="12" t="s">
        <v>65</v>
      </c>
      <c r="J144" s="14">
        <v>4500.0</v>
      </c>
      <c r="K144" s="15">
        <v>46116.0</v>
      </c>
      <c r="L144" s="15">
        <v>46135.0</v>
      </c>
      <c r="M144" s="8" t="s">
        <v>66</v>
      </c>
    </row>
    <row r="145" ht="22.5" customHeight="1">
      <c r="A145" s="8" t="s">
        <v>817</v>
      </c>
      <c r="B145" s="8" t="s">
        <v>818</v>
      </c>
      <c r="C145" s="13" t="s">
        <v>819</v>
      </c>
      <c r="D145" s="8" t="s">
        <v>820</v>
      </c>
      <c r="E145" s="8" t="s">
        <v>173</v>
      </c>
      <c r="F145" s="12" t="s">
        <v>47</v>
      </c>
      <c r="G145" s="12" t="s">
        <v>27</v>
      </c>
      <c r="H145" s="12" t="s">
        <v>28</v>
      </c>
      <c r="I145" s="12" t="s">
        <v>77</v>
      </c>
      <c r="J145" s="14">
        <v>2500.0</v>
      </c>
      <c r="K145" s="15">
        <v>46046.0</v>
      </c>
      <c r="L145" s="15">
        <v>46051.0</v>
      </c>
      <c r="M145" s="8" t="s">
        <v>41</v>
      </c>
    </row>
    <row r="146" ht="22.5" customHeight="1">
      <c r="A146" s="8" t="s">
        <v>821</v>
      </c>
      <c r="B146" s="8" t="s">
        <v>822</v>
      </c>
      <c r="C146" s="13" t="s">
        <v>823</v>
      </c>
      <c r="D146" s="8" t="s">
        <v>824</v>
      </c>
      <c r="E146" s="8" t="s">
        <v>509</v>
      </c>
      <c r="F146" s="12" t="s">
        <v>175</v>
      </c>
      <c r="G146" s="12" t="s">
        <v>27</v>
      </c>
      <c r="H146" s="12" t="s">
        <v>217</v>
      </c>
      <c r="I146" s="12" t="s">
        <v>134</v>
      </c>
      <c r="J146" s="14">
        <v>900.0</v>
      </c>
      <c r="K146" s="15">
        <v>46123.0</v>
      </c>
      <c r="L146" s="15">
        <v>46126.0</v>
      </c>
      <c r="M146" s="8" t="s">
        <v>41</v>
      </c>
    </row>
    <row r="147" ht="22.5" customHeight="1">
      <c r="A147" s="8" t="s">
        <v>825</v>
      </c>
      <c r="B147" s="8" t="s">
        <v>441</v>
      </c>
      <c r="C147" s="13" t="s">
        <v>826</v>
      </c>
      <c r="D147" s="8" t="s">
        <v>827</v>
      </c>
      <c r="F147" s="12" t="s">
        <v>175</v>
      </c>
      <c r="G147" s="12" t="s">
        <v>39</v>
      </c>
      <c r="H147" s="12" t="s">
        <v>28</v>
      </c>
      <c r="I147" s="12" t="s">
        <v>65</v>
      </c>
      <c r="J147" s="14">
        <v>350.0</v>
      </c>
      <c r="K147" s="15">
        <v>46212.0</v>
      </c>
      <c r="L147" s="15">
        <v>46252.0</v>
      </c>
      <c r="M147" s="8" t="s">
        <v>95</v>
      </c>
    </row>
    <row r="148" ht="22.5" customHeight="1">
      <c r="A148" s="8" t="s">
        <v>828</v>
      </c>
      <c r="B148" s="8" t="s">
        <v>829</v>
      </c>
      <c r="C148" s="13" t="s">
        <v>830</v>
      </c>
      <c r="D148" s="8" t="s">
        <v>831</v>
      </c>
      <c r="E148" s="8" t="s">
        <v>832</v>
      </c>
      <c r="F148" s="12" t="s">
        <v>132</v>
      </c>
      <c r="G148" s="12" t="s">
        <v>106</v>
      </c>
      <c r="H148" s="12" t="s">
        <v>76</v>
      </c>
      <c r="I148" s="12" t="s">
        <v>134</v>
      </c>
      <c r="J148" s="14">
        <v>500.0</v>
      </c>
      <c r="K148" s="15">
        <v>46028.0</v>
      </c>
      <c r="L148" s="15">
        <v>46040.0</v>
      </c>
      <c r="M148" s="8" t="s">
        <v>107</v>
      </c>
    </row>
    <row r="149" ht="22.5" customHeight="1">
      <c r="A149" s="8" t="s">
        <v>833</v>
      </c>
      <c r="B149" s="8" t="s">
        <v>834</v>
      </c>
      <c r="C149" s="13" t="s">
        <v>835</v>
      </c>
      <c r="D149" s="8" t="s">
        <v>836</v>
      </c>
      <c r="E149" s="8" t="s">
        <v>190</v>
      </c>
      <c r="F149" s="12" t="s">
        <v>283</v>
      </c>
      <c r="G149" s="12" t="s">
        <v>106</v>
      </c>
      <c r="H149" s="12" t="s">
        <v>217</v>
      </c>
      <c r="I149" s="12" t="s">
        <v>77</v>
      </c>
      <c r="J149" s="14">
        <v>1500.0</v>
      </c>
      <c r="K149" s="15">
        <v>46104.0</v>
      </c>
      <c r="L149" s="15">
        <v>46135.0</v>
      </c>
      <c r="M149" s="8" t="s">
        <v>95</v>
      </c>
    </row>
    <row r="150" ht="22.5" customHeight="1">
      <c r="A150" s="8" t="s">
        <v>837</v>
      </c>
      <c r="B150" s="8" t="s">
        <v>737</v>
      </c>
      <c r="C150" s="13" t="s">
        <v>838</v>
      </c>
      <c r="D150" s="8" t="s">
        <v>839</v>
      </c>
      <c r="E150" s="8" t="s">
        <v>840</v>
      </c>
      <c r="F150" s="12" t="s">
        <v>175</v>
      </c>
      <c r="G150" s="12" t="s">
        <v>106</v>
      </c>
      <c r="H150" s="12" t="s">
        <v>217</v>
      </c>
      <c r="I150" s="12" t="s">
        <v>58</v>
      </c>
      <c r="J150" s="14">
        <v>500.0</v>
      </c>
      <c r="K150" s="15">
        <v>46034.0</v>
      </c>
      <c r="L150" s="15">
        <v>46042.0</v>
      </c>
      <c r="M150" s="8" t="s">
        <v>66</v>
      </c>
    </row>
    <row r="151" ht="22.5" customHeight="1">
      <c r="A151" s="8" t="s">
        <v>841</v>
      </c>
      <c r="B151" s="8" t="s">
        <v>842</v>
      </c>
      <c r="C151" s="13" t="s">
        <v>843</v>
      </c>
      <c r="D151" s="8" t="s">
        <v>844</v>
      </c>
      <c r="E151" s="8" t="s">
        <v>259</v>
      </c>
      <c r="F151" s="12" t="s">
        <v>283</v>
      </c>
      <c r="G151" s="12" t="s">
        <v>106</v>
      </c>
      <c r="H151" s="12" t="s">
        <v>40</v>
      </c>
      <c r="I151" s="12" t="s">
        <v>50</v>
      </c>
      <c r="J151" s="14">
        <v>1500.0</v>
      </c>
      <c r="K151" s="15">
        <v>46068.0</v>
      </c>
      <c r="L151" s="15">
        <v>46087.0</v>
      </c>
    </row>
    <row r="152" ht="22.5" customHeight="1">
      <c r="A152" s="8" t="s">
        <v>845</v>
      </c>
      <c r="B152" s="8" t="s">
        <v>846</v>
      </c>
      <c r="C152" s="13" t="s">
        <v>847</v>
      </c>
      <c r="D152" s="8" t="s">
        <v>848</v>
      </c>
      <c r="E152" s="8" t="s">
        <v>25</v>
      </c>
      <c r="F152" s="12" t="s">
        <v>220</v>
      </c>
      <c r="G152" s="12" t="s">
        <v>133</v>
      </c>
      <c r="H152" s="12" t="s">
        <v>49</v>
      </c>
      <c r="I152" s="12" t="s">
        <v>77</v>
      </c>
      <c r="J152" s="14">
        <v>750.0</v>
      </c>
      <c r="K152" s="15">
        <v>46137.0</v>
      </c>
      <c r="L152" s="15">
        <v>46153.0</v>
      </c>
      <c r="M152" s="8" t="s">
        <v>107</v>
      </c>
    </row>
    <row r="153" ht="22.5" customHeight="1">
      <c r="A153" s="8" t="s">
        <v>849</v>
      </c>
      <c r="B153" s="8" t="s">
        <v>517</v>
      </c>
      <c r="C153" s="13" t="s">
        <v>850</v>
      </c>
      <c r="D153" s="8" t="s">
        <v>851</v>
      </c>
      <c r="E153" s="8" t="s">
        <v>852</v>
      </c>
      <c r="F153" s="12" t="s">
        <v>132</v>
      </c>
      <c r="G153" s="12" t="s">
        <v>27</v>
      </c>
      <c r="H153" s="12" t="s">
        <v>28</v>
      </c>
      <c r="I153" s="12" t="s">
        <v>134</v>
      </c>
      <c r="J153" s="14">
        <v>2500.0</v>
      </c>
      <c r="K153" s="15">
        <v>46189.0</v>
      </c>
      <c r="L153" s="15">
        <v>46223.0</v>
      </c>
      <c r="M153" s="8" t="s">
        <v>95</v>
      </c>
    </row>
    <row r="154" ht="22.5" customHeight="1">
      <c r="A154" s="8" t="s">
        <v>853</v>
      </c>
      <c r="B154" s="8" t="s">
        <v>854</v>
      </c>
      <c r="C154" s="13" t="s">
        <v>855</v>
      </c>
      <c r="D154" s="8" t="s">
        <v>856</v>
      </c>
      <c r="E154" s="8" t="s">
        <v>857</v>
      </c>
      <c r="F154" s="12" t="s">
        <v>132</v>
      </c>
      <c r="G154" s="12" t="s">
        <v>39</v>
      </c>
      <c r="H154" s="12" t="s">
        <v>28</v>
      </c>
      <c r="I154" s="12" t="s">
        <v>134</v>
      </c>
      <c r="J154" s="14">
        <v>900.0</v>
      </c>
      <c r="K154" s="15">
        <v>46040.0</v>
      </c>
      <c r="L154" s="15">
        <v>46078.0</v>
      </c>
      <c r="M154" s="8" t="s">
        <v>30</v>
      </c>
    </row>
    <row r="155" ht="22.5" customHeight="1">
      <c r="A155" s="8" t="s">
        <v>858</v>
      </c>
      <c r="B155" s="8" t="s">
        <v>859</v>
      </c>
      <c r="C155" s="13" t="s">
        <v>860</v>
      </c>
      <c r="D155" s="8" t="s">
        <v>861</v>
      </c>
      <c r="E155" s="8" t="s">
        <v>131</v>
      </c>
      <c r="F155" s="12" t="s">
        <v>283</v>
      </c>
      <c r="G155" s="12" t="s">
        <v>106</v>
      </c>
      <c r="H155" s="12" t="s">
        <v>49</v>
      </c>
      <c r="I155" s="12" t="s">
        <v>58</v>
      </c>
      <c r="J155" s="14">
        <v>4500.0</v>
      </c>
      <c r="K155" s="15">
        <v>46260.0</v>
      </c>
      <c r="L155" s="15">
        <v>46272.0</v>
      </c>
      <c r="M155" s="8" t="s">
        <v>30</v>
      </c>
    </row>
    <row r="156" ht="22.5" customHeight="1">
      <c r="A156" s="8" t="s">
        <v>862</v>
      </c>
      <c r="B156" s="8" t="s">
        <v>863</v>
      </c>
      <c r="C156" s="13" t="s">
        <v>864</v>
      </c>
      <c r="E156" s="8" t="s">
        <v>865</v>
      </c>
      <c r="F156" s="12" t="s">
        <v>132</v>
      </c>
      <c r="G156" s="12" t="s">
        <v>106</v>
      </c>
      <c r="H156" s="12" t="s">
        <v>49</v>
      </c>
      <c r="I156" s="12" t="s">
        <v>134</v>
      </c>
      <c r="J156" s="14"/>
      <c r="K156" s="15">
        <v>46173.0</v>
      </c>
      <c r="L156" s="15">
        <v>46215.0</v>
      </c>
      <c r="M156" s="8" t="s">
        <v>30</v>
      </c>
    </row>
    <row r="157" ht="22.5" customHeight="1">
      <c r="A157" s="8" t="s">
        <v>866</v>
      </c>
      <c r="B157" s="8" t="s">
        <v>867</v>
      </c>
      <c r="C157" s="13" t="s">
        <v>868</v>
      </c>
      <c r="D157" s="8" t="s">
        <v>869</v>
      </c>
      <c r="E157" s="8" t="s">
        <v>852</v>
      </c>
      <c r="F157" s="12" t="s">
        <v>220</v>
      </c>
      <c r="G157" s="12" t="s">
        <v>27</v>
      </c>
      <c r="H157" s="12" t="s">
        <v>217</v>
      </c>
      <c r="I157" s="12" t="s">
        <v>58</v>
      </c>
      <c r="J157" s="14">
        <v>2000.0</v>
      </c>
      <c r="K157" s="15">
        <v>46114.0</v>
      </c>
      <c r="L157" s="15">
        <v>46148.0</v>
      </c>
    </row>
    <row r="158" ht="22.5" customHeight="1">
      <c r="A158" s="8" t="s">
        <v>870</v>
      </c>
      <c r="B158" s="8" t="s">
        <v>871</v>
      </c>
      <c r="C158" s="13" t="s">
        <v>872</v>
      </c>
      <c r="D158" s="8" t="s">
        <v>873</v>
      </c>
      <c r="E158" s="8" t="s">
        <v>419</v>
      </c>
      <c r="F158" s="12" t="s">
        <v>175</v>
      </c>
      <c r="G158" s="12" t="s">
        <v>48</v>
      </c>
      <c r="H158" s="12" t="s">
        <v>217</v>
      </c>
      <c r="I158" s="12" t="s">
        <v>77</v>
      </c>
      <c r="J158" s="14">
        <v>350.0</v>
      </c>
      <c r="K158" s="15">
        <v>46137.0</v>
      </c>
      <c r="L158" s="15">
        <v>46158.0</v>
      </c>
      <c r="M158" s="8" t="s">
        <v>66</v>
      </c>
    </row>
    <row r="159" ht="22.5" customHeight="1">
      <c r="A159" s="8" t="s">
        <v>874</v>
      </c>
      <c r="B159" s="8" t="s">
        <v>875</v>
      </c>
      <c r="C159" s="13" t="s">
        <v>877</v>
      </c>
      <c r="D159" s="8" t="s">
        <v>878</v>
      </c>
      <c r="E159" s="8" t="s">
        <v>879</v>
      </c>
      <c r="F159" s="12" t="s">
        <v>201</v>
      </c>
      <c r="G159" s="12" t="s">
        <v>48</v>
      </c>
      <c r="H159" s="12" t="s">
        <v>40</v>
      </c>
      <c r="I159" s="12" t="s">
        <v>50</v>
      </c>
      <c r="J159" s="14">
        <v>1200.0</v>
      </c>
      <c r="K159" s="15">
        <v>46047.0</v>
      </c>
      <c r="L159" s="15">
        <v>46067.0</v>
      </c>
      <c r="M159" s="8" t="s">
        <v>107</v>
      </c>
    </row>
    <row r="160" ht="22.5" customHeight="1">
      <c r="A160" s="8" t="s">
        <v>880</v>
      </c>
      <c r="B160" s="8" t="s">
        <v>881</v>
      </c>
      <c r="C160" s="13" t="s">
        <v>882</v>
      </c>
      <c r="D160" s="8" t="s">
        <v>883</v>
      </c>
      <c r="E160" s="8" t="s">
        <v>576</v>
      </c>
      <c r="F160" s="12" t="s">
        <v>201</v>
      </c>
      <c r="G160" s="12" t="s">
        <v>57</v>
      </c>
      <c r="H160" s="12" t="s">
        <v>28</v>
      </c>
      <c r="I160" s="12" t="s">
        <v>609</v>
      </c>
      <c r="J160" s="14">
        <v>350.0</v>
      </c>
      <c r="K160" s="15">
        <v>46043.0</v>
      </c>
      <c r="L160" s="15">
        <v>46081.0</v>
      </c>
      <c r="M160" s="8" t="s">
        <v>41</v>
      </c>
    </row>
    <row r="161" ht="22.5" customHeight="1">
      <c r="A161" s="8" t="s">
        <v>884</v>
      </c>
      <c r="B161" s="8" t="s">
        <v>885</v>
      </c>
      <c r="C161" s="13" t="s">
        <v>886</v>
      </c>
      <c r="D161" s="8" t="s">
        <v>887</v>
      </c>
      <c r="E161" s="8" t="s">
        <v>554</v>
      </c>
      <c r="F161" s="12" t="s">
        <v>38</v>
      </c>
      <c r="G161" s="12" t="s">
        <v>39</v>
      </c>
      <c r="H161" s="12" t="s">
        <v>76</v>
      </c>
      <c r="I161" s="12" t="s">
        <v>58</v>
      </c>
      <c r="J161" s="14"/>
      <c r="K161" s="15">
        <v>46219.0</v>
      </c>
      <c r="L161" s="15">
        <v>46261.0</v>
      </c>
      <c r="M161" s="8" t="s">
        <v>41</v>
      </c>
    </row>
    <row r="162" ht="22.5" customHeight="1">
      <c r="A162" s="8" t="s">
        <v>888</v>
      </c>
      <c r="B162" s="8" t="s">
        <v>889</v>
      </c>
      <c r="C162" s="13" t="s">
        <v>890</v>
      </c>
      <c r="D162" s="8" t="s">
        <v>891</v>
      </c>
      <c r="E162" s="8" t="s">
        <v>892</v>
      </c>
      <c r="F162" s="12" t="s">
        <v>120</v>
      </c>
      <c r="G162" s="12" t="s">
        <v>57</v>
      </c>
      <c r="H162" s="12" t="s">
        <v>28</v>
      </c>
      <c r="I162" s="12" t="s">
        <v>134</v>
      </c>
      <c r="J162" s="14"/>
      <c r="K162" s="15">
        <v>46233.0</v>
      </c>
      <c r="L162" s="15">
        <v>46254.0</v>
      </c>
      <c r="M162" s="8" t="s">
        <v>66</v>
      </c>
    </row>
    <row r="163" ht="22.5" customHeight="1">
      <c r="A163" s="8" t="s">
        <v>893</v>
      </c>
      <c r="B163" s="8" t="s">
        <v>894</v>
      </c>
      <c r="C163" s="13" t="s">
        <v>895</v>
      </c>
      <c r="D163" s="8" t="s">
        <v>896</v>
      </c>
      <c r="E163" s="8" t="s">
        <v>897</v>
      </c>
      <c r="F163" s="12" t="s">
        <v>120</v>
      </c>
      <c r="G163" s="12" t="s">
        <v>27</v>
      </c>
      <c r="H163" s="12" t="s">
        <v>49</v>
      </c>
      <c r="I163" s="12" t="s">
        <v>134</v>
      </c>
      <c r="J163" s="14">
        <v>4500.0</v>
      </c>
      <c r="K163" s="15">
        <v>46212.0</v>
      </c>
      <c r="L163" s="15">
        <v>46257.0</v>
      </c>
    </row>
    <row r="164" ht="22.5" customHeight="1">
      <c r="A164" s="8" t="s">
        <v>898</v>
      </c>
      <c r="B164" s="8" t="s">
        <v>899</v>
      </c>
      <c r="C164" s="13" t="s">
        <v>900</v>
      </c>
      <c r="D164" s="8" t="s">
        <v>901</v>
      </c>
      <c r="E164" s="8" t="s">
        <v>228</v>
      </c>
      <c r="F164" s="12" t="s">
        <v>120</v>
      </c>
      <c r="G164" s="12" t="s">
        <v>106</v>
      </c>
      <c r="H164" s="12" t="s">
        <v>49</v>
      </c>
      <c r="I164" s="12" t="s">
        <v>29</v>
      </c>
      <c r="J164" s="14">
        <v>1200.0</v>
      </c>
      <c r="K164" s="15">
        <v>46130.0</v>
      </c>
      <c r="L164" s="15">
        <v>46169.0</v>
      </c>
      <c r="M164" s="8" t="s">
        <v>30</v>
      </c>
    </row>
    <row r="165" ht="22.5" customHeight="1">
      <c r="A165" s="8" t="s">
        <v>902</v>
      </c>
      <c r="B165" s="8" t="s">
        <v>903</v>
      </c>
      <c r="C165" s="13" t="s">
        <v>904</v>
      </c>
      <c r="E165" s="8" t="s">
        <v>325</v>
      </c>
      <c r="F165" s="12" t="s">
        <v>220</v>
      </c>
      <c r="G165" s="12" t="s">
        <v>27</v>
      </c>
      <c r="H165" s="12" t="s">
        <v>28</v>
      </c>
      <c r="I165" s="12" t="s">
        <v>77</v>
      </c>
      <c r="J165" s="14">
        <v>750.0</v>
      </c>
      <c r="K165" s="15">
        <v>46255.0</v>
      </c>
      <c r="L165" s="15">
        <v>46264.0</v>
      </c>
    </row>
    <row r="166" ht="22.5" customHeight="1">
      <c r="A166" s="8" t="s">
        <v>905</v>
      </c>
      <c r="B166" s="8" t="s">
        <v>906</v>
      </c>
      <c r="C166" s="13" t="s">
        <v>907</v>
      </c>
      <c r="D166" s="8" t="s">
        <v>908</v>
      </c>
      <c r="E166" s="8" t="s">
        <v>909</v>
      </c>
      <c r="F166" s="12" t="s">
        <v>201</v>
      </c>
      <c r="G166" s="12" t="s">
        <v>106</v>
      </c>
      <c r="H166" s="12" t="s">
        <v>40</v>
      </c>
      <c r="I166" s="12" t="s">
        <v>29</v>
      </c>
      <c r="J166" s="14">
        <v>750.0</v>
      </c>
      <c r="K166" s="15">
        <v>46127.0</v>
      </c>
      <c r="L166" s="15">
        <v>46168.0</v>
      </c>
    </row>
    <row r="167" ht="22.5" customHeight="1">
      <c r="A167" s="8" t="s">
        <v>910</v>
      </c>
      <c r="B167" s="8" t="s">
        <v>911</v>
      </c>
      <c r="C167" s="13" t="s">
        <v>912</v>
      </c>
      <c r="D167" s="8" t="s">
        <v>913</v>
      </c>
      <c r="E167" s="8" t="s">
        <v>760</v>
      </c>
      <c r="F167" s="12" t="s">
        <v>283</v>
      </c>
      <c r="G167" s="12" t="s">
        <v>27</v>
      </c>
      <c r="H167" s="12" t="s">
        <v>40</v>
      </c>
      <c r="I167" s="12" t="s">
        <v>77</v>
      </c>
      <c r="J167" s="14">
        <v>2000.0</v>
      </c>
      <c r="K167" s="15">
        <v>46238.0</v>
      </c>
      <c r="L167" s="15">
        <v>46263.0</v>
      </c>
      <c r="M167" s="8" t="s">
        <v>66</v>
      </c>
    </row>
    <row r="168" ht="22.5" customHeight="1">
      <c r="A168" s="8" t="s">
        <v>914</v>
      </c>
      <c r="B168" s="8" t="s">
        <v>915</v>
      </c>
      <c r="C168" s="13" t="s">
        <v>916</v>
      </c>
      <c r="D168" s="8" t="s">
        <v>917</v>
      </c>
      <c r="E168" s="8" t="s">
        <v>266</v>
      </c>
      <c r="F168" s="12" t="s">
        <v>220</v>
      </c>
      <c r="G168" s="12" t="s">
        <v>39</v>
      </c>
      <c r="H168" s="12" t="s">
        <v>40</v>
      </c>
      <c r="I168" s="12" t="s">
        <v>58</v>
      </c>
      <c r="J168" s="14">
        <v>750.0</v>
      </c>
      <c r="K168" s="15">
        <v>46100.0</v>
      </c>
      <c r="L168" s="15">
        <v>46104.0</v>
      </c>
      <c r="M168" s="8" t="s">
        <v>41</v>
      </c>
    </row>
    <row r="169" ht="22.5" customHeight="1">
      <c r="A169" s="8" t="s">
        <v>918</v>
      </c>
      <c r="B169" s="8" t="s">
        <v>863</v>
      </c>
      <c r="C169" s="52" t="s">
        <v>919</v>
      </c>
      <c r="D169" s="8" t="s">
        <v>920</v>
      </c>
      <c r="E169" s="8" t="s">
        <v>223</v>
      </c>
      <c r="F169" s="12" t="s">
        <v>132</v>
      </c>
      <c r="G169" s="12" t="s">
        <v>57</v>
      </c>
      <c r="H169" s="12" t="s">
        <v>49</v>
      </c>
      <c r="I169" s="12" t="s">
        <v>65</v>
      </c>
      <c r="J169" s="14">
        <v>3000.0</v>
      </c>
      <c r="K169" s="15">
        <v>46053.0</v>
      </c>
      <c r="L169" s="15"/>
      <c r="M169" s="8" t="s">
        <v>30</v>
      </c>
    </row>
    <row r="170" ht="22.5" customHeight="1">
      <c r="A170" s="8" t="s">
        <v>921</v>
      </c>
      <c r="B170" s="8" t="s">
        <v>922</v>
      </c>
      <c r="C170" s="13" t="s">
        <v>923</v>
      </c>
      <c r="D170" s="8" t="s">
        <v>924</v>
      </c>
      <c r="E170" s="8" t="s">
        <v>400</v>
      </c>
      <c r="F170" s="12" t="s">
        <v>38</v>
      </c>
      <c r="G170" s="12" t="s">
        <v>57</v>
      </c>
      <c r="H170" s="12" t="s">
        <v>217</v>
      </c>
      <c r="I170" s="12" t="s">
        <v>77</v>
      </c>
      <c r="J170" s="14">
        <v>2000.0</v>
      </c>
      <c r="K170" s="15">
        <v>46244.0</v>
      </c>
      <c r="L170" s="15">
        <v>46282.0</v>
      </c>
      <c r="M170" s="8" t="s">
        <v>107</v>
      </c>
    </row>
    <row r="171" ht="22.5" customHeight="1">
      <c r="A171" s="8" t="s">
        <v>925</v>
      </c>
      <c r="B171" s="8" t="s">
        <v>926</v>
      </c>
      <c r="C171" s="13" t="s">
        <v>927</v>
      </c>
      <c r="D171" s="8" t="s">
        <v>928</v>
      </c>
      <c r="E171" s="8" t="s">
        <v>713</v>
      </c>
      <c r="F171" s="12" t="s">
        <v>132</v>
      </c>
      <c r="G171" s="12" t="s">
        <v>48</v>
      </c>
      <c r="H171" s="12" t="s">
        <v>40</v>
      </c>
      <c r="I171" s="12" t="s">
        <v>134</v>
      </c>
      <c r="J171" s="14">
        <v>3000.0</v>
      </c>
      <c r="K171" s="15">
        <v>46041.0</v>
      </c>
      <c r="L171" s="15">
        <v>46070.0</v>
      </c>
      <c r="M171" s="8" t="s">
        <v>107</v>
      </c>
    </row>
    <row r="172" ht="22.5" customHeight="1">
      <c r="A172" s="8" t="s">
        <v>929</v>
      </c>
      <c r="B172" s="8" t="s">
        <v>930</v>
      </c>
      <c r="C172" s="13" t="s">
        <v>931</v>
      </c>
      <c r="D172" s="8" t="s">
        <v>932</v>
      </c>
      <c r="E172" s="8" t="s">
        <v>879</v>
      </c>
      <c r="F172" s="12" t="s">
        <v>47</v>
      </c>
      <c r="G172" s="12" t="s">
        <v>57</v>
      </c>
      <c r="H172" s="12" t="s">
        <v>40</v>
      </c>
      <c r="I172" s="12" t="s">
        <v>29</v>
      </c>
      <c r="J172" s="14">
        <v>3000.0</v>
      </c>
      <c r="K172" s="15">
        <v>46248.0</v>
      </c>
      <c r="L172" s="15">
        <v>46290.0</v>
      </c>
      <c r="M172" s="8" t="s">
        <v>107</v>
      </c>
    </row>
    <row r="173" ht="22.5" customHeight="1">
      <c r="A173" s="8" t="s">
        <v>933</v>
      </c>
      <c r="B173" s="8" t="s">
        <v>255</v>
      </c>
      <c r="C173" s="13" t="s">
        <v>934</v>
      </c>
      <c r="D173" s="8" t="s">
        <v>935</v>
      </c>
      <c r="E173" s="8" t="s">
        <v>936</v>
      </c>
      <c r="F173" s="12" t="s">
        <v>47</v>
      </c>
      <c r="G173" s="12" t="s">
        <v>57</v>
      </c>
      <c r="H173" s="12" t="s">
        <v>217</v>
      </c>
      <c r="I173" s="12" t="s">
        <v>134</v>
      </c>
      <c r="J173" s="14">
        <v>900.0</v>
      </c>
      <c r="K173" s="15">
        <v>46216.0</v>
      </c>
      <c r="L173" s="15">
        <v>46230.0</v>
      </c>
      <c r="M173" s="8" t="s">
        <v>66</v>
      </c>
    </row>
    <row r="174" ht="22.5" customHeight="1">
      <c r="A174" s="8" t="s">
        <v>937</v>
      </c>
      <c r="B174" s="8" t="s">
        <v>234</v>
      </c>
      <c r="C174" s="13" t="s">
        <v>938</v>
      </c>
      <c r="E174" s="8" t="s">
        <v>939</v>
      </c>
      <c r="F174" s="12" t="s">
        <v>132</v>
      </c>
      <c r="G174" s="12" t="s">
        <v>27</v>
      </c>
      <c r="H174" s="12" t="s">
        <v>40</v>
      </c>
      <c r="I174" s="12" t="s">
        <v>77</v>
      </c>
      <c r="J174" s="14">
        <v>3000.0</v>
      </c>
      <c r="K174" s="15">
        <v>46095.0</v>
      </c>
      <c r="L174" s="15"/>
      <c r="M174" s="8" t="s">
        <v>107</v>
      </c>
    </row>
    <row r="175" ht="22.5" customHeight="1">
      <c r="A175" s="8" t="s">
        <v>940</v>
      </c>
      <c r="B175" s="8" t="s">
        <v>941</v>
      </c>
      <c r="C175" s="13" t="s">
        <v>942</v>
      </c>
      <c r="D175" s="8" t="s">
        <v>943</v>
      </c>
      <c r="E175" s="8" t="s">
        <v>944</v>
      </c>
      <c r="F175" s="12" t="s">
        <v>201</v>
      </c>
      <c r="G175" s="12" t="s">
        <v>27</v>
      </c>
      <c r="H175" s="12" t="s">
        <v>217</v>
      </c>
      <c r="I175" s="12" t="s">
        <v>50</v>
      </c>
      <c r="J175" s="14">
        <v>750.0</v>
      </c>
      <c r="K175" s="15">
        <v>46027.0</v>
      </c>
      <c r="L175" s="15">
        <v>46043.0</v>
      </c>
      <c r="M175" s="8" t="s">
        <v>66</v>
      </c>
    </row>
    <row r="176" ht="22.5" customHeight="1">
      <c r="A176" s="8" t="s">
        <v>945</v>
      </c>
      <c r="B176" s="8" t="s">
        <v>946</v>
      </c>
      <c r="C176" s="13" t="s">
        <v>947</v>
      </c>
      <c r="D176" s="8" t="s">
        <v>948</v>
      </c>
      <c r="E176" s="8" t="s">
        <v>949</v>
      </c>
      <c r="F176" s="12" t="s">
        <v>38</v>
      </c>
      <c r="G176" s="12" t="s">
        <v>133</v>
      </c>
      <c r="H176" s="12" t="s">
        <v>49</v>
      </c>
      <c r="I176" s="12" t="s">
        <v>58</v>
      </c>
      <c r="J176" s="14">
        <v>750.0</v>
      </c>
      <c r="K176" s="15">
        <v>46097.0</v>
      </c>
      <c r="L176" s="15">
        <v>46142.0</v>
      </c>
      <c r="M176" s="8" t="s">
        <v>66</v>
      </c>
    </row>
    <row r="177" ht="22.5" customHeight="1">
      <c r="A177" s="8" t="s">
        <v>950</v>
      </c>
      <c r="B177" s="8" t="s">
        <v>951</v>
      </c>
      <c r="C177" s="13" t="s">
        <v>952</v>
      </c>
      <c r="D177" s="8" t="s">
        <v>953</v>
      </c>
      <c r="F177" s="12" t="s">
        <v>47</v>
      </c>
      <c r="G177" s="12" t="s">
        <v>27</v>
      </c>
      <c r="H177" s="12" t="s">
        <v>49</v>
      </c>
      <c r="I177" s="12" t="s">
        <v>58</v>
      </c>
      <c r="J177" s="14">
        <v>3000.0</v>
      </c>
      <c r="K177" s="15">
        <v>46083.0</v>
      </c>
      <c r="L177" s="15">
        <v>46123.0</v>
      </c>
      <c r="M177" s="8" t="s">
        <v>107</v>
      </c>
    </row>
    <row r="178" ht="22.5" customHeight="1">
      <c r="A178" s="8" t="s">
        <v>954</v>
      </c>
      <c r="B178" s="8" t="s">
        <v>955</v>
      </c>
      <c r="C178" s="13" t="s">
        <v>956</v>
      </c>
      <c r="D178" s="8" t="s">
        <v>957</v>
      </c>
      <c r="E178" s="8" t="s">
        <v>266</v>
      </c>
      <c r="F178" s="12" t="s">
        <v>120</v>
      </c>
      <c r="G178" s="12" t="s">
        <v>106</v>
      </c>
      <c r="H178" s="12" t="s">
        <v>28</v>
      </c>
      <c r="I178" s="12" t="s">
        <v>29</v>
      </c>
      <c r="J178" s="14">
        <v>750.0</v>
      </c>
      <c r="K178" s="15">
        <v>46201.0</v>
      </c>
      <c r="L178" s="15">
        <v>46211.0</v>
      </c>
      <c r="M178" s="8" t="s">
        <v>30</v>
      </c>
    </row>
    <row r="179" ht="22.5" customHeight="1">
      <c r="A179" s="8" t="s">
        <v>958</v>
      </c>
      <c r="B179" s="8" t="s">
        <v>959</v>
      </c>
      <c r="C179" s="13" t="s">
        <v>960</v>
      </c>
      <c r="E179" s="8" t="s">
        <v>962</v>
      </c>
      <c r="F179" s="12" t="s">
        <v>283</v>
      </c>
      <c r="G179" s="12" t="s">
        <v>48</v>
      </c>
      <c r="H179" s="12" t="s">
        <v>40</v>
      </c>
      <c r="I179" s="12" t="s">
        <v>77</v>
      </c>
      <c r="J179" s="14">
        <v>500.0</v>
      </c>
      <c r="K179" s="15">
        <v>46189.0</v>
      </c>
      <c r="L179" s="15">
        <v>46190.0</v>
      </c>
      <c r="M179" s="8" t="s">
        <v>66</v>
      </c>
    </row>
    <row r="180" ht="22.5" customHeight="1">
      <c r="A180" s="8" t="s">
        <v>964</v>
      </c>
      <c r="B180" s="8" t="s">
        <v>965</v>
      </c>
      <c r="C180" s="13" t="s">
        <v>966</v>
      </c>
      <c r="D180" s="8" t="s">
        <v>967</v>
      </c>
      <c r="E180" s="8" t="s">
        <v>944</v>
      </c>
      <c r="F180" s="12" t="s">
        <v>175</v>
      </c>
      <c r="G180" s="12" t="s">
        <v>133</v>
      </c>
      <c r="H180" s="12" t="s">
        <v>40</v>
      </c>
      <c r="I180" s="12" t="s">
        <v>77</v>
      </c>
      <c r="J180" s="14">
        <v>750.0</v>
      </c>
      <c r="K180" s="15">
        <v>46229.0</v>
      </c>
      <c r="L180" s="15">
        <v>46257.0</v>
      </c>
      <c r="M180" s="8" t="s">
        <v>95</v>
      </c>
    </row>
    <row r="181" ht="22.5" customHeight="1">
      <c r="A181" s="8" t="s">
        <v>968</v>
      </c>
      <c r="B181" s="8" t="s">
        <v>969</v>
      </c>
      <c r="C181" s="13" t="s">
        <v>970</v>
      </c>
      <c r="D181" s="8" t="s">
        <v>972</v>
      </c>
      <c r="E181" s="8" t="s">
        <v>973</v>
      </c>
      <c r="F181" s="12" t="s">
        <v>38</v>
      </c>
      <c r="G181" s="12" t="s">
        <v>133</v>
      </c>
      <c r="H181" s="12" t="s">
        <v>76</v>
      </c>
      <c r="I181" s="12" t="s">
        <v>134</v>
      </c>
      <c r="J181" s="14">
        <v>350.0</v>
      </c>
      <c r="K181" s="15">
        <v>46220.0</v>
      </c>
      <c r="L181" s="15">
        <v>46253.0</v>
      </c>
      <c r="M181" s="8" t="s">
        <v>95</v>
      </c>
    </row>
    <row r="182" ht="22.5" customHeight="1">
      <c r="A182" s="8" t="s">
        <v>975</v>
      </c>
      <c r="B182" s="8" t="s">
        <v>976</v>
      </c>
      <c r="C182" s="13" t="s">
        <v>977</v>
      </c>
      <c r="D182" s="8" t="s">
        <v>978</v>
      </c>
      <c r="E182" s="8" t="s">
        <v>897</v>
      </c>
      <c r="F182" s="12" t="s">
        <v>132</v>
      </c>
      <c r="G182" s="12" t="s">
        <v>57</v>
      </c>
      <c r="H182" s="12" t="s">
        <v>217</v>
      </c>
      <c r="I182" s="12" t="s">
        <v>134</v>
      </c>
      <c r="J182" s="14">
        <v>350.0</v>
      </c>
      <c r="K182" s="15">
        <v>46034.0</v>
      </c>
      <c r="L182" s="15">
        <v>46072.0</v>
      </c>
      <c r="M182" s="8" t="s">
        <v>66</v>
      </c>
    </row>
    <row r="183" ht="22.5" customHeight="1">
      <c r="A183" s="8" t="s">
        <v>979</v>
      </c>
      <c r="B183" s="8" t="s">
        <v>980</v>
      </c>
      <c r="C183" s="52" t="s">
        <v>981</v>
      </c>
      <c r="D183" s="8" t="s">
        <v>982</v>
      </c>
      <c r="E183" s="8" t="s">
        <v>983</v>
      </c>
      <c r="F183" s="12" t="s">
        <v>201</v>
      </c>
      <c r="G183" s="12" t="s">
        <v>39</v>
      </c>
      <c r="H183" s="12" t="s">
        <v>28</v>
      </c>
      <c r="I183" s="12" t="s">
        <v>134</v>
      </c>
      <c r="J183" s="14">
        <v>2000.0</v>
      </c>
      <c r="K183" s="15">
        <v>46158.0</v>
      </c>
      <c r="L183" s="15">
        <v>46190.0</v>
      </c>
      <c r="M183" s="8" t="s">
        <v>107</v>
      </c>
    </row>
    <row r="184" ht="22.5" customHeight="1">
      <c r="A184" s="8" t="s">
        <v>984</v>
      </c>
      <c r="B184" s="8" t="s">
        <v>881</v>
      </c>
      <c r="C184" s="13" t="s">
        <v>985</v>
      </c>
      <c r="E184" s="8" t="s">
        <v>973</v>
      </c>
      <c r="F184" s="12" t="s">
        <v>283</v>
      </c>
      <c r="G184" s="12" t="s">
        <v>133</v>
      </c>
      <c r="H184" s="12" t="s">
        <v>40</v>
      </c>
      <c r="I184" s="12" t="s">
        <v>50</v>
      </c>
      <c r="J184" s="14">
        <v>350.0</v>
      </c>
      <c r="K184" s="15">
        <v>46154.0</v>
      </c>
      <c r="L184" s="15">
        <v>46180.0</v>
      </c>
    </row>
    <row r="185" ht="22.5" customHeight="1">
      <c r="A185" s="8" t="s">
        <v>986</v>
      </c>
      <c r="B185" s="8" t="s">
        <v>987</v>
      </c>
      <c r="C185" s="13" t="s">
        <v>988</v>
      </c>
      <c r="E185" s="8" t="s">
        <v>325</v>
      </c>
      <c r="F185" s="12" t="s">
        <v>47</v>
      </c>
      <c r="G185" s="12" t="s">
        <v>27</v>
      </c>
      <c r="H185" s="12" t="s">
        <v>76</v>
      </c>
      <c r="I185" s="12" t="s">
        <v>29</v>
      </c>
      <c r="J185" s="14">
        <v>750.0</v>
      </c>
      <c r="K185" s="15">
        <v>46156.0</v>
      </c>
      <c r="L185" s="15">
        <v>46197.0</v>
      </c>
      <c r="M185" s="8" t="s">
        <v>41</v>
      </c>
    </row>
    <row r="186" ht="22.5" customHeight="1">
      <c r="A186" s="8" t="s">
        <v>989</v>
      </c>
      <c r="B186" s="8" t="s">
        <v>990</v>
      </c>
      <c r="C186" s="13" t="s">
        <v>991</v>
      </c>
      <c r="D186" s="8" t="s">
        <v>992</v>
      </c>
      <c r="E186" s="8" t="s">
        <v>325</v>
      </c>
      <c r="F186" s="12" t="s">
        <v>38</v>
      </c>
      <c r="G186" s="12" t="s">
        <v>106</v>
      </c>
      <c r="H186" s="12" t="s">
        <v>76</v>
      </c>
      <c r="I186" s="12" t="s">
        <v>134</v>
      </c>
      <c r="J186" s="14">
        <v>350.0</v>
      </c>
      <c r="K186" s="15">
        <v>46119.0</v>
      </c>
      <c r="L186" s="15">
        <v>46127.0</v>
      </c>
      <c r="M186" s="8" t="s">
        <v>66</v>
      </c>
    </row>
    <row r="187" ht="22.5" customHeight="1">
      <c r="A187" s="8" t="s">
        <v>993</v>
      </c>
      <c r="B187" s="8" t="s">
        <v>994</v>
      </c>
      <c r="C187" s="13" t="s">
        <v>995</v>
      </c>
      <c r="D187" s="8" t="s">
        <v>996</v>
      </c>
      <c r="E187" s="8" t="s">
        <v>997</v>
      </c>
      <c r="F187" s="12" t="s">
        <v>38</v>
      </c>
      <c r="G187" s="12" t="s">
        <v>39</v>
      </c>
      <c r="H187" s="12" t="s">
        <v>76</v>
      </c>
      <c r="I187" s="12" t="s">
        <v>134</v>
      </c>
      <c r="J187" s="14">
        <v>1200.0</v>
      </c>
      <c r="K187" s="15">
        <v>46165.0</v>
      </c>
      <c r="L187" s="15">
        <v>46205.0</v>
      </c>
      <c r="M187" s="8" t="s">
        <v>107</v>
      </c>
    </row>
    <row r="188" ht="22.5" customHeight="1">
      <c r="A188" s="8" t="s">
        <v>961</v>
      </c>
      <c r="B188" s="8" t="s">
        <v>177</v>
      </c>
      <c r="C188" s="13" t="s">
        <v>963</v>
      </c>
      <c r="D188" s="8" t="s">
        <v>971</v>
      </c>
      <c r="E188" s="8" t="s">
        <v>974</v>
      </c>
      <c r="F188" s="12" t="s">
        <v>38</v>
      </c>
      <c r="G188" s="12" t="s">
        <v>133</v>
      </c>
      <c r="H188" s="12" t="s">
        <v>49</v>
      </c>
      <c r="I188" s="12" t="s">
        <v>65</v>
      </c>
      <c r="J188" s="14">
        <v>500.0</v>
      </c>
      <c r="K188" s="15">
        <v>46245.0</v>
      </c>
      <c r="L188" s="15">
        <v>46255.0</v>
      </c>
      <c r="M188" s="8" t="s">
        <v>30</v>
      </c>
    </row>
    <row r="189" ht="22.5" customHeight="1">
      <c r="A189" s="8" t="s">
        <v>1001</v>
      </c>
      <c r="B189" s="8" t="s">
        <v>568</v>
      </c>
      <c r="C189" s="13" t="s">
        <v>1002</v>
      </c>
      <c r="D189" s="8" t="s">
        <v>1003</v>
      </c>
      <c r="E189" s="8" t="s">
        <v>173</v>
      </c>
      <c r="F189" s="12" t="s">
        <v>132</v>
      </c>
      <c r="G189" s="12" t="s">
        <v>133</v>
      </c>
      <c r="H189" s="12" t="s">
        <v>28</v>
      </c>
      <c r="I189" s="12" t="s">
        <v>65</v>
      </c>
      <c r="J189" s="14">
        <v>2500.0</v>
      </c>
      <c r="K189" s="15">
        <v>46209.0</v>
      </c>
      <c r="L189" s="15">
        <v>46233.0</v>
      </c>
    </row>
    <row r="190" ht="22.5" customHeight="1">
      <c r="A190" s="8" t="s">
        <v>1005</v>
      </c>
      <c r="B190" s="8" t="s">
        <v>1006</v>
      </c>
      <c r="C190" s="52"/>
      <c r="D190" s="8" t="s">
        <v>580</v>
      </c>
      <c r="E190" s="8" t="s">
        <v>581</v>
      </c>
      <c r="F190" s="12" t="s">
        <v>220</v>
      </c>
      <c r="G190" s="12" t="s">
        <v>57</v>
      </c>
      <c r="H190" s="12" t="s">
        <v>76</v>
      </c>
      <c r="I190" s="12" t="s">
        <v>77</v>
      </c>
      <c r="J190" s="14">
        <v>2000.0</v>
      </c>
      <c r="K190" s="15">
        <v>46041.0</v>
      </c>
      <c r="L190" s="15">
        <v>46061.0</v>
      </c>
      <c r="M190" s="8" t="s">
        <v>66</v>
      </c>
    </row>
    <row r="191" ht="22.5" customHeight="1">
      <c r="A191" s="8" t="s">
        <v>253</v>
      </c>
      <c r="B191" s="8" t="s">
        <v>257</v>
      </c>
      <c r="C191" s="13" t="s">
        <v>260</v>
      </c>
      <c r="D191" s="8" t="s">
        <v>271</v>
      </c>
      <c r="E191" s="8" t="s">
        <v>272</v>
      </c>
      <c r="F191" s="12" t="s">
        <v>120</v>
      </c>
      <c r="G191" s="12" t="s">
        <v>57</v>
      </c>
      <c r="H191" s="12" t="s">
        <v>40</v>
      </c>
      <c r="I191" s="12" t="s">
        <v>50</v>
      </c>
      <c r="J191" s="14">
        <v>1200.0</v>
      </c>
      <c r="K191" s="15">
        <v>46263.0</v>
      </c>
      <c r="L191" s="15">
        <v>46304.0</v>
      </c>
      <c r="M191" s="8" t="s">
        <v>95</v>
      </c>
    </row>
    <row r="192" ht="22.5" customHeight="1">
      <c r="A192" s="8" t="s">
        <v>1009</v>
      </c>
      <c r="B192" s="8" t="s">
        <v>1010</v>
      </c>
      <c r="C192" s="13" t="s">
        <v>1011</v>
      </c>
      <c r="D192" s="8" t="s">
        <v>1012</v>
      </c>
      <c r="E192" s="8" t="s">
        <v>1013</v>
      </c>
      <c r="F192" s="12" t="s">
        <v>201</v>
      </c>
      <c r="G192" s="12" t="s">
        <v>57</v>
      </c>
      <c r="H192" s="12" t="s">
        <v>76</v>
      </c>
      <c r="I192" s="12"/>
      <c r="J192" s="14">
        <v>3000.0</v>
      </c>
      <c r="K192" s="15">
        <v>46045.0</v>
      </c>
      <c r="L192" s="15">
        <v>46073.0</v>
      </c>
      <c r="M192" s="8" t="s">
        <v>95</v>
      </c>
    </row>
  </sheetData>
  <dataValidations>
    <dataValidation type="list" allowBlank="1" showDropDown="1" showErrorMessage="1" sqref="I2:I192">
      <formula1>"Contacted,New,Lost,Won,Proposal Sent,Qualified,,Proposal"</formula1>
    </dataValidation>
    <dataValidation type="list" allowBlank="1" showDropDown="1" showErrorMessage="1" sqref="G2:G192">
      <formula1>"Organic Search,Instagram,Referral,Website,LinkedIn,Facebook"</formula1>
    </dataValidation>
    <dataValidation type="custom" allowBlank="1" showDropDown="1" sqref="K2:L192">
      <formula1>OR(NOT(ISERROR(DATEVALUE(K2))), AND(ISNUMBER(K2), LEFT(CELL("format", K2))="D"))</formula1>
    </dataValidation>
    <dataValidation type="custom" allowBlank="1" showDropDown="1" sqref="J2:J192">
      <formula1>AND(ISNUMBER(J2),(NOT(OR(NOT(ISERROR(DATEVALUE(J2))), AND(ISNUMBER(J2), LEFT(CELL("format", J2))="D")))))</formula1>
    </dataValidation>
    <dataValidation type="list" allowBlank="1" showDropDown="1" showErrorMessage="1" sqref="H2:H192">
      <formula1>"Document Processing,Workflow Automation,AI Voice Agent,Data Automation,Website Chat Agent"</formula1>
    </dataValidation>
    <dataValidation type="list" allowBlank="1" showDropDown="1" showErrorMessage="1" sqref="F2:F192">
      <formula1>"Chile,El Salvador,Argentina,Peru,United States,Spain,Perú,Colombia,Mexico,Salvador,Us,Usa"</formula1>
    </dataValidation>
  </dataValidations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3"/>
    <hyperlink r:id="rId62" ref="C64"/>
    <hyperlink r:id="rId63" ref="C65"/>
    <hyperlink r:id="rId64" ref="C66"/>
    <hyperlink r:id="rId65" ref="C67"/>
    <hyperlink r:id="rId66" ref="C68"/>
    <hyperlink r:id="rId67" ref="C69"/>
    <hyperlink r:id="rId68" ref="C70"/>
    <hyperlink r:id="rId69" ref="C71"/>
    <hyperlink r:id="rId70" ref="C72"/>
    <hyperlink r:id="rId71" ref="C73"/>
    <hyperlink r:id="rId72" ref="C74"/>
    <hyperlink r:id="rId73" ref="C75"/>
    <hyperlink r:id="rId74" ref="C76"/>
    <hyperlink r:id="rId75" ref="C77"/>
    <hyperlink r:id="rId76" ref="C78"/>
    <hyperlink r:id="rId77" ref="C79"/>
    <hyperlink r:id="rId78" ref="C80"/>
    <hyperlink r:id="rId79" ref="C81"/>
    <hyperlink r:id="rId80" ref="C83"/>
    <hyperlink r:id="rId81" ref="C84"/>
    <hyperlink r:id="rId82" ref="C85"/>
    <hyperlink r:id="rId83" ref="C86"/>
    <hyperlink r:id="rId84" ref="C87"/>
    <hyperlink r:id="rId85" ref="C88"/>
    <hyperlink r:id="rId86" ref="C89"/>
    <hyperlink r:id="rId87" ref="C90"/>
    <hyperlink r:id="rId88" ref="C91"/>
    <hyperlink r:id="rId89" ref="C92"/>
    <hyperlink r:id="rId90" ref="C93"/>
    <hyperlink r:id="rId91" ref="C94"/>
    <hyperlink r:id="rId92" ref="C96"/>
    <hyperlink r:id="rId93" ref="C97"/>
    <hyperlink r:id="rId94" ref="C98"/>
    <hyperlink r:id="rId95" ref="C99"/>
    <hyperlink r:id="rId96" ref="C100"/>
    <hyperlink r:id="rId97" ref="C101"/>
    <hyperlink r:id="rId98" ref="C102"/>
    <hyperlink r:id="rId99" ref="C103"/>
    <hyperlink r:id="rId100" ref="C104"/>
    <hyperlink r:id="rId101" ref="C105"/>
    <hyperlink r:id="rId102" ref="C106"/>
    <hyperlink r:id="rId103" ref="C107"/>
    <hyperlink r:id="rId104" ref="C108"/>
    <hyperlink r:id="rId105" ref="C109"/>
    <hyperlink r:id="rId106" ref="C110"/>
    <hyperlink r:id="rId107" ref="C112"/>
    <hyperlink r:id="rId108" ref="C113"/>
    <hyperlink r:id="rId109" ref="C114"/>
    <hyperlink r:id="rId110" ref="C115"/>
    <hyperlink r:id="rId111" ref="C116"/>
    <hyperlink r:id="rId112" ref="C117"/>
    <hyperlink r:id="rId113" ref="C118"/>
    <hyperlink r:id="rId114" ref="C119"/>
    <hyperlink r:id="rId115" ref="C120"/>
    <hyperlink r:id="rId116" ref="C122"/>
    <hyperlink r:id="rId117" ref="C123"/>
    <hyperlink r:id="rId118" ref="C124"/>
    <hyperlink r:id="rId119" ref="C125"/>
    <hyperlink r:id="rId120" ref="C126"/>
    <hyperlink r:id="rId121" ref="C127"/>
    <hyperlink r:id="rId122" ref="C128"/>
    <hyperlink r:id="rId123" ref="C129"/>
    <hyperlink r:id="rId124" ref="C130"/>
    <hyperlink r:id="rId125" ref="C131"/>
    <hyperlink r:id="rId126" ref="C132"/>
    <hyperlink r:id="rId127" ref="C133"/>
    <hyperlink r:id="rId128" ref="C134"/>
    <hyperlink r:id="rId129" ref="C135"/>
    <hyperlink r:id="rId130" ref="C137"/>
    <hyperlink r:id="rId131" ref="C138"/>
    <hyperlink r:id="rId132" ref="C139"/>
    <hyperlink r:id="rId133" ref="C140"/>
    <hyperlink r:id="rId134" ref="C141"/>
    <hyperlink r:id="rId135" ref="C144"/>
    <hyperlink r:id="rId136" ref="C145"/>
    <hyperlink r:id="rId137" ref="C146"/>
    <hyperlink r:id="rId138" ref="C147"/>
    <hyperlink r:id="rId139" ref="C148"/>
    <hyperlink r:id="rId140" ref="C149"/>
    <hyperlink r:id="rId141" ref="C150"/>
    <hyperlink r:id="rId142" ref="C151"/>
    <hyperlink r:id="rId143" ref="C152"/>
    <hyperlink r:id="rId144" ref="C153"/>
    <hyperlink r:id="rId145" ref="C154"/>
    <hyperlink r:id="rId146" ref="C155"/>
    <hyperlink r:id="rId147" ref="C156"/>
    <hyperlink r:id="rId148" ref="C157"/>
    <hyperlink r:id="rId149" ref="C158"/>
    <hyperlink r:id="rId150" ref="C159"/>
    <hyperlink r:id="rId151" ref="C160"/>
    <hyperlink r:id="rId152" ref="C161"/>
    <hyperlink r:id="rId153" ref="C162"/>
    <hyperlink r:id="rId154" ref="C163"/>
    <hyperlink r:id="rId155" ref="C164"/>
    <hyperlink r:id="rId156" ref="C165"/>
    <hyperlink r:id="rId157" ref="C166"/>
    <hyperlink r:id="rId158" ref="C167"/>
    <hyperlink r:id="rId159" ref="C168"/>
    <hyperlink r:id="rId160" ref="C170"/>
    <hyperlink r:id="rId161" ref="C171"/>
    <hyperlink r:id="rId162" ref="C172"/>
    <hyperlink r:id="rId163" ref="C173"/>
    <hyperlink r:id="rId164" ref="C174"/>
    <hyperlink r:id="rId165" ref="C175"/>
    <hyperlink r:id="rId166" ref="C176"/>
    <hyperlink r:id="rId167" ref="C177"/>
    <hyperlink r:id="rId168" ref="C178"/>
    <hyperlink r:id="rId169" ref="C179"/>
    <hyperlink r:id="rId170" ref="C180"/>
    <hyperlink r:id="rId171" ref="C181"/>
    <hyperlink r:id="rId172" ref="C182"/>
    <hyperlink r:id="rId173" ref="C184"/>
    <hyperlink r:id="rId174" ref="C185"/>
    <hyperlink r:id="rId175" ref="C186"/>
    <hyperlink r:id="rId176" ref="C187"/>
    <hyperlink r:id="rId177" ref="C188"/>
    <hyperlink r:id="rId178" ref="C189"/>
    <hyperlink r:id="rId179" ref="C191"/>
    <hyperlink r:id="rId180" ref="C192"/>
  </hyperlinks>
  <drawing r:id="rId181"/>
  <tableParts count="1">
    <tablePart r:id="rId18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7.13"/>
  </cols>
  <sheetData>
    <row r="1" ht="21.0" customHeight="1">
      <c r="A1" s="55" t="s">
        <v>1030</v>
      </c>
      <c r="B1" s="55" t="s">
        <v>1031</v>
      </c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  <c r="Q1" s="56"/>
      <c r="R1" s="56"/>
      <c r="S1" s="56"/>
      <c r="T1" s="56"/>
      <c r="U1" s="56"/>
      <c r="V1" s="56"/>
      <c r="W1" s="56"/>
      <c r="X1" s="56"/>
      <c r="Y1" s="56"/>
      <c r="Z1" s="56"/>
    </row>
    <row r="2" ht="21.0" customHeight="1">
      <c r="A2" s="11" t="s">
        <v>1032</v>
      </c>
      <c r="B2" s="11">
        <v>200.0</v>
      </c>
    </row>
    <row r="3" ht="21.0" customHeight="1">
      <c r="A3" s="11" t="s">
        <v>1033</v>
      </c>
      <c r="B3" s="11">
        <v>16.0</v>
      </c>
    </row>
    <row r="4" ht="21.0" customHeight="1">
      <c r="A4" s="11" t="s">
        <v>1034</v>
      </c>
      <c r="B4" s="11">
        <v>18.0</v>
      </c>
    </row>
    <row r="5" ht="21.0" customHeight="1">
      <c r="A5" s="11" t="s">
        <v>1035</v>
      </c>
      <c r="B5" s="11">
        <v>9.0</v>
      </c>
    </row>
    <row r="6" ht="21.0" customHeight="1">
      <c r="A6" s="11" t="s">
        <v>1036</v>
      </c>
      <c r="B6" s="11">
        <v>9.0</v>
      </c>
    </row>
    <row r="7" ht="21.0" customHeight="1">
      <c r="A7" s="11" t="s">
        <v>1037</v>
      </c>
      <c r="B7" s="11">
        <v>2.0</v>
      </c>
      <c r="F7" s="57"/>
    </row>
    <row r="8" ht="21.0" customHeight="1">
      <c r="A8" s="11" t="s">
        <v>1038</v>
      </c>
      <c r="B8" s="11">
        <v>7.0</v>
      </c>
      <c r="F8" s="57"/>
    </row>
    <row r="9" ht="21.0" customHeight="1">
      <c r="A9" s="11" t="s">
        <v>1039</v>
      </c>
      <c r="B9" s="11">
        <v>8.0</v>
      </c>
    </row>
    <row r="10" ht="21.0" customHeight="1">
      <c r="A10" s="11" t="s">
        <v>1040</v>
      </c>
      <c r="B10" s="11">
        <v>8.0</v>
      </c>
    </row>
    <row r="11" ht="21.0" customHeight="1">
      <c r="A11" s="11" t="s">
        <v>1041</v>
      </c>
      <c r="B11" s="11">
        <v>4.0</v>
      </c>
    </row>
    <row r="12" ht="21.0" customHeight="1">
      <c r="A12" s="11" t="s">
        <v>1042</v>
      </c>
      <c r="B12" s="11">
        <v>4.0</v>
      </c>
    </row>
    <row r="13" ht="21.0" customHeight="1">
      <c r="A13" s="11" t="s">
        <v>1043</v>
      </c>
      <c r="B13" s="11">
        <v>16.0</v>
      </c>
    </row>
    <row r="14" ht="21.0" customHeight="1">
      <c r="A14" s="11" t="s">
        <v>1044</v>
      </c>
      <c r="B14" s="11">
        <v>9.0</v>
      </c>
    </row>
    <row r="15" ht="21.0" customHeight="1">
      <c r="A15" s="11" t="s">
        <v>1045</v>
      </c>
      <c r="B15" s="11">
        <v>12.0</v>
      </c>
    </row>
    <row r="16" ht="21.0" customHeight="1">
      <c r="A16" s="11" t="s">
        <v>1046</v>
      </c>
      <c r="B16" s="11">
        <v>4.0</v>
      </c>
    </row>
    <row r="17" ht="21.0" customHeight="1">
      <c r="A17" s="11" t="s">
        <v>1047</v>
      </c>
      <c r="B17" s="11">
        <v>10.0</v>
      </c>
    </row>
    <row r="18" ht="21.0" customHeight="1">
      <c r="A18" s="11" t="s">
        <v>1048</v>
      </c>
      <c r="B18" s="11">
        <v>191.0</v>
      </c>
    </row>
    <row r="19" ht="21.0" customHeight="1">
      <c r="A19" s="11" t="s">
        <v>1049</v>
      </c>
      <c r="B19" s="11" t="s">
        <v>1050</v>
      </c>
    </row>
    <row r="20" ht="21.0" customHeight="1">
      <c r="A20" s="11" t="s">
        <v>1051</v>
      </c>
      <c r="B20" s="11">
        <v>7.0</v>
      </c>
    </row>
    <row r="21" ht="21.0" customHeight="1"/>
    <row r="22" ht="21.0" customHeight="1"/>
    <row r="23" ht="21.0" customHeight="1"/>
    <row r="24" ht="21.0" customHeight="1"/>
    <row r="25" ht="21.0" customHeight="1"/>
    <row r="26" ht="21.0" customHeight="1"/>
    <row r="27" ht="21.0" customHeight="1"/>
    <row r="28" ht="21.0" customHeight="1"/>
    <row r="29" ht="21.0" customHeight="1"/>
    <row r="30" ht="21.0" customHeight="1"/>
    <row r="31" ht="21.0" customHeight="1"/>
    <row r="32" ht="21.0" customHeight="1"/>
    <row r="33" ht="21.0" customHeight="1"/>
    <row r="34" ht="21.0" customHeight="1"/>
    <row r="35" ht="21.0" customHeight="1"/>
    <row r="36" ht="21.0" customHeight="1"/>
    <row r="37" ht="21.0" customHeight="1"/>
    <row r="38" ht="21.0" customHeight="1"/>
    <row r="39" ht="21.0" customHeight="1"/>
    <row r="40" ht="21.0" customHeight="1"/>
    <row r="41" ht="21.0" customHeight="1"/>
    <row r="42" ht="21.0" customHeight="1"/>
    <row r="43" ht="21.0" customHeight="1"/>
    <row r="44" ht="21.0" customHeight="1"/>
    <row r="45" ht="21.0" customHeight="1"/>
    <row r="46" ht="21.0" customHeight="1"/>
    <row r="47" ht="21.0" customHeight="1"/>
    <row r="48" ht="21.0" customHeight="1"/>
    <row r="49" ht="21.0" customHeight="1"/>
    <row r="50" ht="21.0" customHeight="1"/>
    <row r="51" ht="21.0" customHeight="1"/>
    <row r="52" ht="21.0" customHeight="1"/>
    <row r="53" ht="21.0" customHeight="1"/>
    <row r="54" ht="21.0" customHeight="1"/>
    <row r="55" ht="21.0" customHeight="1"/>
    <row r="56" ht="21.0" customHeight="1"/>
    <row r="57" ht="21.0" customHeight="1"/>
    <row r="58" ht="21.0" customHeight="1"/>
    <row r="59" ht="21.0" customHeight="1"/>
    <row r="60" ht="21.0" customHeight="1"/>
    <row r="61" ht="21.0" customHeight="1"/>
    <row r="62" ht="21.0" customHeight="1"/>
    <row r="63" ht="21.0" customHeight="1"/>
    <row r="64" ht="21.0" customHeight="1"/>
    <row r="65" ht="21.0" customHeight="1"/>
    <row r="66" ht="21.0" customHeight="1"/>
    <row r="67" ht="21.0" customHeight="1"/>
    <row r="68" ht="21.0" customHeight="1"/>
    <row r="69" ht="21.0" customHeight="1"/>
    <row r="70" ht="21.0" customHeight="1"/>
    <row r="71" ht="21.0" customHeight="1"/>
    <row r="72" ht="21.0" customHeight="1"/>
    <row r="73" ht="21.0" customHeight="1"/>
    <row r="74" ht="21.0" customHeight="1"/>
    <row r="75" ht="21.0" customHeight="1"/>
    <row r="76" ht="21.0" customHeight="1"/>
    <row r="77" ht="21.0" customHeight="1"/>
    <row r="78" ht="21.0" customHeight="1"/>
    <row r="79" ht="21.0" customHeight="1"/>
    <row r="80" ht="21.0" customHeight="1"/>
    <row r="81" ht="21.0" customHeight="1"/>
    <row r="82" ht="21.0" customHeight="1"/>
    <row r="83" ht="21.0" customHeight="1"/>
    <row r="84" ht="21.0" customHeight="1"/>
    <row r="85" ht="21.0" customHeight="1"/>
    <row r="86" ht="21.0" customHeight="1"/>
    <row r="87" ht="21.0" customHeight="1"/>
    <row r="88" ht="21.0" customHeight="1"/>
    <row r="89" ht="21.0" customHeight="1"/>
    <row r="90" ht="21.0" customHeight="1"/>
    <row r="91" ht="21.0" customHeight="1"/>
    <row r="92" ht="21.0" customHeight="1"/>
    <row r="93" ht="21.0" customHeight="1"/>
    <row r="94" ht="21.0" customHeight="1"/>
    <row r="95" ht="21.0" customHeight="1"/>
    <row r="96" ht="21.0" customHeight="1"/>
    <row r="97" ht="21.0" customHeight="1"/>
    <row r="98" ht="21.0" customHeight="1"/>
    <row r="99" ht="21.0" customHeight="1"/>
    <row r="100" ht="21.0" customHeight="1"/>
    <row r="101" ht="21.0" customHeight="1"/>
    <row r="102" ht="21.0" customHeight="1"/>
    <row r="103" ht="21.0" customHeight="1"/>
    <row r="104" ht="21.0" customHeight="1"/>
    <row r="105" ht="21.0" customHeight="1"/>
    <row r="106" ht="21.0" customHeight="1"/>
    <row r="107" ht="21.0" customHeight="1"/>
    <row r="108" ht="21.0" customHeight="1"/>
    <row r="109" ht="21.0" customHeight="1"/>
    <row r="110" ht="21.0" customHeight="1"/>
    <row r="111" ht="21.0" customHeight="1"/>
    <row r="112" ht="21.0" customHeight="1"/>
    <row r="113" ht="21.0" customHeight="1"/>
    <row r="114" ht="21.0" customHeight="1"/>
    <row r="115" ht="21.0" customHeight="1"/>
    <row r="116" ht="21.0" customHeight="1"/>
    <row r="117" ht="21.0" customHeight="1"/>
    <row r="118" ht="21.0" customHeight="1"/>
    <row r="119" ht="21.0" customHeight="1"/>
    <row r="120" ht="21.0" customHeight="1"/>
    <row r="121" ht="21.0" customHeight="1"/>
    <row r="122" ht="21.0" customHeight="1"/>
    <row r="123" ht="21.0" customHeight="1"/>
    <row r="124" ht="21.0" customHeight="1"/>
    <row r="125" ht="21.0" customHeight="1"/>
    <row r="126" ht="21.0" customHeight="1"/>
    <row r="127" ht="21.0" customHeight="1"/>
    <row r="128" ht="21.0" customHeight="1"/>
    <row r="129" ht="21.0" customHeight="1"/>
    <row r="130" ht="21.0" customHeight="1"/>
    <row r="131" ht="21.0" customHeight="1"/>
    <row r="132" ht="21.0" customHeight="1"/>
    <row r="133" ht="21.0" customHeight="1"/>
    <row r="134" ht="21.0" customHeight="1"/>
    <row r="135" ht="21.0" customHeight="1"/>
    <row r="136" ht="21.0" customHeight="1"/>
    <row r="137" ht="21.0" customHeight="1"/>
    <row r="138" ht="21.0" customHeight="1"/>
    <row r="139" ht="21.0" customHeight="1"/>
    <row r="140" ht="21.0" customHeight="1"/>
    <row r="141" ht="21.0" customHeight="1"/>
    <row r="142" ht="21.0" customHeight="1"/>
    <row r="143" ht="21.0" customHeight="1"/>
    <row r="144" ht="21.0" customHeight="1"/>
    <row r="145" ht="21.0" customHeight="1"/>
    <row r="146" ht="21.0" customHeight="1"/>
    <row r="147" ht="21.0" customHeight="1"/>
    <row r="148" ht="21.0" customHeight="1"/>
    <row r="149" ht="21.0" customHeight="1"/>
    <row r="150" ht="21.0" customHeight="1"/>
    <row r="151" ht="21.0" customHeight="1"/>
    <row r="152" ht="21.0" customHeight="1"/>
    <row r="153" ht="21.0" customHeight="1"/>
    <row r="154" ht="21.0" customHeight="1"/>
    <row r="155" ht="21.0" customHeight="1"/>
    <row r="156" ht="21.0" customHeight="1"/>
    <row r="157" ht="21.0" customHeight="1"/>
    <row r="158" ht="21.0" customHeight="1"/>
    <row r="159" ht="21.0" customHeight="1"/>
    <row r="160" ht="21.0" customHeight="1"/>
    <row r="161" ht="21.0" customHeight="1"/>
    <row r="162" ht="21.0" customHeight="1"/>
    <row r="163" ht="21.0" customHeight="1"/>
    <row r="164" ht="21.0" customHeight="1"/>
    <row r="165" ht="21.0" customHeight="1"/>
    <row r="166" ht="21.0" customHeight="1"/>
    <row r="167" ht="21.0" customHeight="1"/>
    <row r="168" ht="21.0" customHeight="1"/>
    <row r="169" ht="21.0" customHeight="1"/>
    <row r="170" ht="21.0" customHeight="1"/>
    <row r="171" ht="21.0" customHeight="1"/>
    <row r="172" ht="21.0" customHeight="1"/>
    <row r="173" ht="21.0" customHeight="1"/>
    <row r="174" ht="21.0" customHeight="1"/>
    <row r="175" ht="21.0" customHeight="1"/>
    <row r="176" ht="21.0" customHeight="1"/>
    <row r="177" ht="21.0" customHeight="1"/>
    <row r="178" ht="21.0" customHeight="1"/>
    <row r="179" ht="21.0" customHeight="1"/>
    <row r="180" ht="21.0" customHeight="1"/>
    <row r="181" ht="21.0" customHeight="1"/>
    <row r="182" ht="21.0" customHeight="1"/>
    <row r="183" ht="21.0" customHeight="1"/>
    <row r="184" ht="21.0" customHeight="1"/>
    <row r="185" ht="21.0" customHeight="1"/>
    <row r="186" ht="21.0" customHeight="1"/>
    <row r="187" ht="21.0" customHeight="1"/>
    <row r="188" ht="21.0" customHeight="1"/>
    <row r="189" ht="21.0" customHeight="1"/>
    <row r="190" ht="21.0" customHeight="1"/>
    <row r="191" ht="21.0" customHeight="1"/>
    <row r="192" ht="21.0" customHeight="1"/>
    <row r="193" ht="21.0" customHeight="1"/>
    <row r="194" ht="21.0" customHeight="1"/>
    <row r="195" ht="21.0" customHeight="1"/>
    <row r="196" ht="21.0" customHeight="1"/>
    <row r="197" ht="21.0" customHeight="1"/>
    <row r="198" ht="21.0" customHeight="1"/>
    <row r="199" ht="21.0" customHeight="1"/>
    <row r="200" ht="21.0" customHeight="1"/>
    <row r="201" ht="21.0" customHeight="1"/>
    <row r="202" ht="21.0" customHeight="1"/>
    <row r="203" ht="21.0" customHeight="1"/>
    <row r="204" ht="21.0" customHeight="1"/>
    <row r="205" ht="21.0" customHeight="1"/>
    <row r="206" ht="21.0" customHeight="1"/>
    <row r="207" ht="21.0" customHeight="1"/>
    <row r="208" ht="21.0" customHeight="1"/>
    <row r="209" ht="21.0" customHeight="1"/>
    <row r="210" ht="21.0" customHeight="1"/>
    <row r="211" ht="21.0" customHeight="1"/>
    <row r="212" ht="21.0" customHeight="1"/>
    <row r="213" ht="21.0" customHeight="1"/>
    <row r="214" ht="21.0" customHeight="1"/>
    <row r="215" ht="21.0" customHeight="1"/>
    <row r="216" ht="21.0" customHeight="1"/>
    <row r="217" ht="21.0" customHeight="1"/>
    <row r="218" ht="21.0" customHeight="1"/>
    <row r="219" ht="21.0" customHeight="1"/>
    <row r="220" ht="21.0" customHeight="1"/>
    <row r="221" ht="21.0" customHeight="1"/>
    <row r="222" ht="21.0" customHeight="1"/>
    <row r="223" ht="21.0" customHeight="1"/>
    <row r="224" ht="21.0" customHeight="1"/>
    <row r="225" ht="21.0" customHeight="1"/>
    <row r="226" ht="21.0" customHeight="1"/>
    <row r="227" ht="21.0" customHeight="1"/>
    <row r="228" ht="21.0" customHeight="1"/>
    <row r="229" ht="21.0" customHeight="1"/>
    <row r="230" ht="21.0" customHeight="1"/>
    <row r="231" ht="21.0" customHeight="1"/>
    <row r="232" ht="21.0" customHeight="1"/>
    <row r="233" ht="21.0" customHeight="1"/>
    <row r="234" ht="21.0" customHeight="1"/>
    <row r="235" ht="21.0" customHeight="1"/>
    <row r="236" ht="21.0" customHeight="1"/>
    <row r="237" ht="21.0" customHeight="1"/>
    <row r="238" ht="21.0" customHeight="1"/>
    <row r="239" ht="21.0" customHeight="1"/>
    <row r="240" ht="21.0" customHeight="1"/>
    <row r="241" ht="21.0" customHeight="1"/>
    <row r="242" ht="21.0" customHeight="1"/>
    <row r="243" ht="21.0" customHeight="1"/>
    <row r="244" ht="21.0" customHeight="1"/>
    <row r="245" ht="21.0" customHeight="1"/>
    <row r="246" ht="21.0" customHeight="1"/>
    <row r="247" ht="21.0" customHeight="1"/>
    <row r="248" ht="21.0" customHeight="1"/>
    <row r="249" ht="21.0" customHeight="1"/>
    <row r="250" ht="21.0" customHeight="1"/>
    <row r="251" ht="21.0" customHeight="1"/>
    <row r="252" ht="21.0" customHeight="1"/>
    <row r="253" ht="21.0" customHeight="1"/>
    <row r="254" ht="21.0" customHeight="1"/>
    <row r="255" ht="21.0" customHeight="1"/>
    <row r="256" ht="21.0" customHeight="1"/>
    <row r="257" ht="21.0" customHeight="1"/>
    <row r="258" ht="21.0" customHeight="1"/>
    <row r="259" ht="21.0" customHeight="1"/>
    <row r="260" ht="21.0" customHeight="1"/>
    <row r="261" ht="21.0" customHeight="1"/>
    <row r="262" ht="21.0" customHeight="1"/>
    <row r="263" ht="21.0" customHeight="1"/>
    <row r="264" ht="21.0" customHeight="1"/>
    <row r="265" ht="21.0" customHeight="1"/>
    <row r="266" ht="21.0" customHeight="1"/>
    <row r="267" ht="21.0" customHeight="1"/>
    <row r="268" ht="21.0" customHeight="1"/>
    <row r="269" ht="21.0" customHeight="1"/>
    <row r="270" ht="21.0" customHeight="1"/>
    <row r="271" ht="21.0" customHeight="1"/>
    <row r="272" ht="21.0" customHeight="1"/>
    <row r="273" ht="21.0" customHeight="1"/>
    <row r="274" ht="21.0" customHeight="1"/>
    <row r="275" ht="21.0" customHeight="1"/>
    <row r="276" ht="21.0" customHeight="1"/>
    <row r="277" ht="21.0" customHeight="1"/>
    <row r="278" ht="21.0" customHeight="1"/>
    <row r="279" ht="21.0" customHeight="1"/>
    <row r="280" ht="21.0" customHeight="1"/>
    <row r="281" ht="21.0" customHeight="1"/>
    <row r="282" ht="21.0" customHeight="1"/>
    <row r="283" ht="21.0" customHeight="1"/>
    <row r="284" ht="21.0" customHeight="1"/>
    <row r="285" ht="21.0" customHeight="1"/>
    <row r="286" ht="21.0" customHeight="1"/>
    <row r="287" ht="21.0" customHeight="1"/>
    <row r="288" ht="21.0" customHeight="1"/>
    <row r="289" ht="21.0" customHeight="1"/>
    <row r="290" ht="21.0" customHeight="1"/>
    <row r="291" ht="21.0" customHeight="1"/>
    <row r="292" ht="21.0" customHeight="1"/>
    <row r="293" ht="21.0" customHeight="1"/>
    <row r="294" ht="21.0" customHeight="1"/>
    <row r="295" ht="21.0" customHeight="1"/>
    <row r="296" ht="21.0" customHeight="1"/>
    <row r="297" ht="21.0" customHeight="1"/>
    <row r="298" ht="21.0" customHeight="1"/>
    <row r="299" ht="21.0" customHeight="1"/>
    <row r="300" ht="21.0" customHeight="1"/>
    <row r="301" ht="21.0" customHeight="1"/>
    <row r="302" ht="21.0" customHeight="1"/>
    <row r="303" ht="21.0" customHeight="1"/>
    <row r="304" ht="21.0" customHeight="1"/>
    <row r="305" ht="21.0" customHeight="1"/>
    <row r="306" ht="21.0" customHeight="1"/>
    <row r="307" ht="21.0" customHeight="1"/>
    <row r="308" ht="21.0" customHeight="1"/>
    <row r="309" ht="21.0" customHeight="1"/>
    <row r="310" ht="21.0" customHeight="1"/>
    <row r="311" ht="21.0" customHeight="1"/>
    <row r="312" ht="21.0" customHeight="1"/>
    <row r="313" ht="21.0" customHeight="1"/>
    <row r="314" ht="21.0" customHeight="1"/>
    <row r="315" ht="21.0" customHeight="1"/>
    <row r="316" ht="21.0" customHeight="1"/>
    <row r="317" ht="21.0" customHeight="1"/>
    <row r="318" ht="21.0" customHeight="1"/>
    <row r="319" ht="21.0" customHeight="1"/>
    <row r="320" ht="21.0" customHeight="1"/>
    <row r="321" ht="21.0" customHeight="1"/>
    <row r="322" ht="21.0" customHeight="1"/>
    <row r="323" ht="21.0" customHeight="1"/>
    <row r="324" ht="21.0" customHeight="1"/>
    <row r="325" ht="21.0" customHeight="1"/>
    <row r="326" ht="21.0" customHeight="1"/>
    <row r="327" ht="21.0" customHeight="1"/>
    <row r="328" ht="21.0" customHeight="1"/>
    <row r="329" ht="21.0" customHeight="1"/>
    <row r="330" ht="21.0" customHeight="1"/>
    <row r="331" ht="21.0" customHeight="1"/>
    <row r="332" ht="21.0" customHeight="1"/>
    <row r="333" ht="21.0" customHeight="1"/>
    <row r="334" ht="21.0" customHeight="1"/>
    <row r="335" ht="21.0" customHeight="1"/>
    <row r="336" ht="21.0" customHeight="1"/>
    <row r="337" ht="21.0" customHeight="1"/>
    <row r="338" ht="21.0" customHeight="1"/>
    <row r="339" ht="21.0" customHeight="1"/>
    <row r="340" ht="21.0" customHeight="1"/>
    <row r="341" ht="21.0" customHeight="1"/>
    <row r="342" ht="21.0" customHeight="1"/>
    <row r="343" ht="21.0" customHeight="1"/>
    <row r="344" ht="21.0" customHeight="1"/>
    <row r="345" ht="21.0" customHeight="1"/>
    <row r="346" ht="21.0" customHeight="1"/>
    <row r="347" ht="21.0" customHeight="1"/>
    <row r="348" ht="21.0" customHeight="1"/>
    <row r="349" ht="21.0" customHeight="1"/>
    <row r="350" ht="21.0" customHeight="1"/>
    <row r="351" ht="21.0" customHeight="1"/>
    <row r="352" ht="21.0" customHeight="1"/>
    <row r="353" ht="21.0" customHeight="1"/>
    <row r="354" ht="21.0" customHeight="1"/>
    <row r="355" ht="21.0" customHeight="1"/>
    <row r="356" ht="21.0" customHeight="1"/>
    <row r="357" ht="21.0" customHeight="1"/>
    <row r="358" ht="21.0" customHeight="1"/>
    <row r="359" ht="21.0" customHeight="1"/>
    <row r="360" ht="21.0" customHeight="1"/>
    <row r="361" ht="21.0" customHeight="1"/>
    <row r="362" ht="21.0" customHeight="1"/>
    <row r="363" ht="21.0" customHeight="1"/>
    <row r="364" ht="21.0" customHeight="1"/>
    <row r="365" ht="21.0" customHeight="1"/>
    <row r="366" ht="21.0" customHeight="1"/>
    <row r="367" ht="21.0" customHeight="1"/>
    <row r="368" ht="21.0" customHeight="1"/>
    <row r="369" ht="21.0" customHeight="1"/>
    <row r="370" ht="21.0" customHeight="1"/>
    <row r="371" ht="21.0" customHeight="1"/>
    <row r="372" ht="21.0" customHeight="1"/>
    <row r="373" ht="21.0" customHeight="1"/>
    <row r="374" ht="21.0" customHeight="1"/>
    <row r="375" ht="21.0" customHeight="1"/>
    <row r="376" ht="21.0" customHeight="1"/>
    <row r="377" ht="21.0" customHeight="1"/>
    <row r="378" ht="21.0" customHeight="1"/>
    <row r="379" ht="21.0" customHeight="1"/>
    <row r="380" ht="21.0" customHeight="1"/>
    <row r="381" ht="21.0" customHeight="1"/>
    <row r="382" ht="21.0" customHeight="1"/>
    <row r="383" ht="21.0" customHeight="1"/>
    <row r="384" ht="21.0" customHeight="1"/>
    <row r="385" ht="21.0" customHeight="1"/>
    <row r="386" ht="21.0" customHeight="1"/>
    <row r="387" ht="21.0" customHeight="1"/>
    <row r="388" ht="21.0" customHeight="1"/>
    <row r="389" ht="21.0" customHeight="1"/>
    <row r="390" ht="21.0" customHeight="1"/>
    <row r="391" ht="21.0" customHeight="1"/>
    <row r="392" ht="21.0" customHeight="1"/>
    <row r="393" ht="21.0" customHeight="1"/>
    <row r="394" ht="21.0" customHeight="1"/>
    <row r="395" ht="21.0" customHeight="1"/>
    <row r="396" ht="21.0" customHeight="1"/>
    <row r="397" ht="21.0" customHeight="1"/>
    <row r="398" ht="21.0" customHeight="1"/>
    <row r="399" ht="21.0" customHeight="1"/>
    <row r="400" ht="21.0" customHeight="1"/>
    <row r="401" ht="21.0" customHeight="1"/>
    <row r="402" ht="21.0" customHeight="1"/>
    <row r="403" ht="21.0" customHeight="1"/>
    <row r="404" ht="21.0" customHeight="1"/>
    <row r="405" ht="21.0" customHeight="1"/>
    <row r="406" ht="21.0" customHeight="1"/>
    <row r="407" ht="21.0" customHeight="1"/>
    <row r="408" ht="21.0" customHeight="1"/>
    <row r="409" ht="21.0" customHeight="1"/>
    <row r="410" ht="21.0" customHeight="1"/>
    <row r="411" ht="21.0" customHeight="1"/>
    <row r="412" ht="21.0" customHeight="1"/>
    <row r="413" ht="21.0" customHeight="1"/>
    <row r="414" ht="21.0" customHeight="1"/>
    <row r="415" ht="21.0" customHeight="1"/>
    <row r="416" ht="21.0" customHeight="1"/>
    <row r="417" ht="21.0" customHeight="1"/>
    <row r="418" ht="21.0" customHeight="1"/>
    <row r="419" ht="21.0" customHeight="1"/>
    <row r="420" ht="21.0" customHeight="1"/>
    <row r="421" ht="21.0" customHeight="1"/>
    <row r="422" ht="21.0" customHeight="1"/>
    <row r="423" ht="21.0" customHeight="1"/>
    <row r="424" ht="21.0" customHeight="1"/>
    <row r="425" ht="21.0" customHeight="1"/>
    <row r="426" ht="21.0" customHeight="1"/>
    <row r="427" ht="21.0" customHeight="1"/>
    <row r="428" ht="21.0" customHeight="1"/>
    <row r="429" ht="21.0" customHeight="1"/>
    <row r="430" ht="21.0" customHeight="1"/>
    <row r="431" ht="21.0" customHeight="1"/>
    <row r="432" ht="21.0" customHeight="1"/>
    <row r="433" ht="21.0" customHeight="1"/>
    <row r="434" ht="21.0" customHeight="1"/>
    <row r="435" ht="21.0" customHeight="1"/>
    <row r="436" ht="21.0" customHeight="1"/>
    <row r="437" ht="21.0" customHeight="1"/>
    <row r="438" ht="21.0" customHeight="1"/>
    <row r="439" ht="21.0" customHeight="1"/>
    <row r="440" ht="21.0" customHeight="1"/>
    <row r="441" ht="21.0" customHeight="1"/>
    <row r="442" ht="21.0" customHeight="1"/>
    <row r="443" ht="21.0" customHeight="1"/>
    <row r="444" ht="21.0" customHeight="1"/>
    <row r="445" ht="21.0" customHeight="1"/>
    <row r="446" ht="21.0" customHeight="1"/>
    <row r="447" ht="21.0" customHeight="1"/>
    <row r="448" ht="21.0" customHeight="1"/>
    <row r="449" ht="21.0" customHeight="1"/>
    <row r="450" ht="21.0" customHeight="1"/>
    <row r="451" ht="21.0" customHeight="1"/>
    <row r="452" ht="21.0" customHeight="1"/>
    <row r="453" ht="21.0" customHeight="1"/>
    <row r="454" ht="21.0" customHeight="1"/>
    <row r="455" ht="21.0" customHeight="1"/>
    <row r="456" ht="21.0" customHeight="1"/>
    <row r="457" ht="21.0" customHeight="1"/>
    <row r="458" ht="21.0" customHeight="1"/>
    <row r="459" ht="21.0" customHeight="1"/>
    <row r="460" ht="21.0" customHeight="1"/>
    <row r="461" ht="21.0" customHeight="1"/>
    <row r="462" ht="21.0" customHeight="1"/>
    <row r="463" ht="21.0" customHeight="1"/>
    <row r="464" ht="21.0" customHeight="1"/>
    <row r="465" ht="21.0" customHeight="1"/>
    <row r="466" ht="21.0" customHeight="1"/>
    <row r="467" ht="21.0" customHeight="1"/>
    <row r="468" ht="21.0" customHeight="1"/>
    <row r="469" ht="21.0" customHeight="1"/>
    <row r="470" ht="21.0" customHeight="1"/>
    <row r="471" ht="21.0" customHeight="1"/>
    <row r="472" ht="21.0" customHeight="1"/>
    <row r="473" ht="21.0" customHeight="1"/>
    <row r="474" ht="21.0" customHeight="1"/>
    <row r="475" ht="21.0" customHeight="1"/>
    <row r="476" ht="21.0" customHeight="1"/>
    <row r="477" ht="21.0" customHeight="1"/>
    <row r="478" ht="21.0" customHeight="1"/>
    <row r="479" ht="21.0" customHeight="1"/>
    <row r="480" ht="21.0" customHeight="1"/>
    <row r="481" ht="21.0" customHeight="1"/>
    <row r="482" ht="21.0" customHeight="1"/>
    <row r="483" ht="21.0" customHeight="1"/>
    <row r="484" ht="21.0" customHeight="1"/>
    <row r="485" ht="21.0" customHeight="1"/>
    <row r="486" ht="21.0" customHeight="1"/>
    <row r="487" ht="21.0" customHeight="1"/>
    <row r="488" ht="21.0" customHeight="1"/>
    <row r="489" ht="21.0" customHeight="1"/>
    <row r="490" ht="21.0" customHeight="1"/>
    <row r="491" ht="21.0" customHeight="1"/>
    <row r="492" ht="21.0" customHeight="1"/>
    <row r="493" ht="21.0" customHeight="1"/>
    <row r="494" ht="21.0" customHeight="1"/>
    <row r="495" ht="21.0" customHeight="1"/>
    <row r="496" ht="21.0" customHeight="1"/>
    <row r="497" ht="21.0" customHeight="1"/>
    <row r="498" ht="21.0" customHeight="1"/>
    <row r="499" ht="21.0" customHeight="1"/>
    <row r="500" ht="21.0" customHeight="1"/>
    <row r="501" ht="21.0" customHeight="1"/>
    <row r="502" ht="21.0" customHeight="1"/>
    <row r="503" ht="21.0" customHeight="1"/>
    <row r="504" ht="21.0" customHeight="1"/>
    <row r="505" ht="21.0" customHeight="1"/>
    <row r="506" ht="21.0" customHeight="1"/>
    <row r="507" ht="21.0" customHeight="1"/>
    <row r="508" ht="21.0" customHeight="1"/>
    <row r="509" ht="21.0" customHeight="1"/>
    <row r="510" ht="21.0" customHeight="1"/>
    <row r="511" ht="21.0" customHeight="1"/>
    <row r="512" ht="21.0" customHeight="1"/>
    <row r="513" ht="21.0" customHeight="1"/>
    <row r="514" ht="21.0" customHeight="1"/>
    <row r="515" ht="21.0" customHeight="1"/>
    <row r="516" ht="21.0" customHeight="1"/>
    <row r="517" ht="21.0" customHeight="1"/>
    <row r="518" ht="21.0" customHeight="1"/>
    <row r="519" ht="21.0" customHeight="1"/>
    <row r="520" ht="21.0" customHeight="1"/>
    <row r="521" ht="21.0" customHeight="1"/>
    <row r="522" ht="21.0" customHeight="1"/>
    <row r="523" ht="21.0" customHeight="1"/>
    <row r="524" ht="21.0" customHeight="1"/>
    <row r="525" ht="21.0" customHeight="1"/>
    <row r="526" ht="21.0" customHeight="1"/>
    <row r="527" ht="21.0" customHeight="1"/>
    <row r="528" ht="21.0" customHeight="1"/>
    <row r="529" ht="21.0" customHeight="1"/>
    <row r="530" ht="21.0" customHeight="1"/>
    <row r="531" ht="21.0" customHeight="1"/>
    <row r="532" ht="21.0" customHeight="1"/>
    <row r="533" ht="21.0" customHeight="1"/>
    <row r="534" ht="21.0" customHeight="1"/>
    <row r="535" ht="21.0" customHeight="1"/>
    <row r="536" ht="21.0" customHeight="1"/>
    <row r="537" ht="21.0" customHeight="1"/>
    <row r="538" ht="21.0" customHeight="1"/>
    <row r="539" ht="21.0" customHeight="1"/>
    <row r="540" ht="21.0" customHeight="1"/>
    <row r="541" ht="21.0" customHeight="1"/>
    <row r="542" ht="21.0" customHeight="1"/>
    <row r="543" ht="21.0" customHeight="1"/>
    <row r="544" ht="21.0" customHeight="1"/>
    <row r="545" ht="21.0" customHeight="1"/>
    <row r="546" ht="21.0" customHeight="1"/>
    <row r="547" ht="21.0" customHeight="1"/>
    <row r="548" ht="21.0" customHeight="1"/>
    <row r="549" ht="21.0" customHeight="1"/>
    <row r="550" ht="21.0" customHeight="1"/>
    <row r="551" ht="21.0" customHeight="1"/>
    <row r="552" ht="21.0" customHeight="1"/>
    <row r="553" ht="21.0" customHeight="1"/>
    <row r="554" ht="21.0" customHeight="1"/>
    <row r="555" ht="21.0" customHeight="1"/>
    <row r="556" ht="21.0" customHeight="1"/>
    <row r="557" ht="21.0" customHeight="1"/>
    <row r="558" ht="21.0" customHeight="1"/>
    <row r="559" ht="21.0" customHeight="1"/>
    <row r="560" ht="21.0" customHeight="1"/>
    <row r="561" ht="21.0" customHeight="1"/>
    <row r="562" ht="21.0" customHeight="1"/>
    <row r="563" ht="21.0" customHeight="1"/>
    <row r="564" ht="21.0" customHeight="1"/>
    <row r="565" ht="21.0" customHeight="1"/>
    <row r="566" ht="21.0" customHeight="1"/>
    <row r="567" ht="21.0" customHeight="1"/>
    <row r="568" ht="21.0" customHeight="1"/>
    <row r="569" ht="21.0" customHeight="1"/>
    <row r="570" ht="21.0" customHeight="1"/>
    <row r="571" ht="21.0" customHeight="1"/>
    <row r="572" ht="21.0" customHeight="1"/>
    <row r="573" ht="21.0" customHeight="1"/>
    <row r="574" ht="21.0" customHeight="1"/>
    <row r="575" ht="21.0" customHeight="1"/>
    <row r="576" ht="21.0" customHeight="1"/>
    <row r="577" ht="21.0" customHeight="1"/>
    <row r="578" ht="21.0" customHeight="1"/>
    <row r="579" ht="21.0" customHeight="1"/>
    <row r="580" ht="21.0" customHeight="1"/>
    <row r="581" ht="21.0" customHeight="1"/>
    <row r="582" ht="21.0" customHeight="1"/>
    <row r="583" ht="21.0" customHeight="1"/>
    <row r="584" ht="21.0" customHeight="1"/>
    <row r="585" ht="21.0" customHeight="1"/>
    <row r="586" ht="21.0" customHeight="1"/>
    <row r="587" ht="21.0" customHeight="1"/>
    <row r="588" ht="21.0" customHeight="1"/>
    <row r="589" ht="21.0" customHeight="1"/>
    <row r="590" ht="21.0" customHeight="1"/>
    <row r="591" ht="21.0" customHeight="1"/>
    <row r="592" ht="21.0" customHeight="1"/>
    <row r="593" ht="21.0" customHeight="1"/>
    <row r="594" ht="21.0" customHeight="1"/>
    <row r="595" ht="21.0" customHeight="1"/>
    <row r="596" ht="21.0" customHeight="1"/>
    <row r="597" ht="21.0" customHeight="1"/>
    <row r="598" ht="21.0" customHeight="1"/>
    <row r="599" ht="21.0" customHeight="1"/>
    <row r="600" ht="21.0" customHeight="1"/>
    <row r="601" ht="21.0" customHeight="1"/>
    <row r="602" ht="21.0" customHeight="1"/>
    <row r="603" ht="21.0" customHeight="1"/>
    <row r="604" ht="21.0" customHeight="1"/>
    <row r="605" ht="21.0" customHeight="1"/>
    <row r="606" ht="21.0" customHeight="1"/>
    <row r="607" ht="21.0" customHeight="1"/>
    <row r="608" ht="21.0" customHeight="1"/>
    <row r="609" ht="21.0" customHeight="1"/>
    <row r="610" ht="21.0" customHeight="1"/>
    <row r="611" ht="21.0" customHeight="1"/>
    <row r="612" ht="21.0" customHeight="1"/>
    <row r="613" ht="21.0" customHeight="1"/>
    <row r="614" ht="21.0" customHeight="1"/>
    <row r="615" ht="21.0" customHeight="1"/>
    <row r="616" ht="21.0" customHeight="1"/>
    <row r="617" ht="21.0" customHeight="1"/>
    <row r="618" ht="21.0" customHeight="1"/>
    <row r="619" ht="21.0" customHeight="1"/>
    <row r="620" ht="21.0" customHeight="1"/>
    <row r="621" ht="21.0" customHeight="1"/>
    <row r="622" ht="21.0" customHeight="1"/>
    <row r="623" ht="21.0" customHeight="1"/>
    <row r="624" ht="21.0" customHeight="1"/>
    <row r="625" ht="21.0" customHeight="1"/>
    <row r="626" ht="21.0" customHeight="1"/>
    <row r="627" ht="21.0" customHeight="1"/>
    <row r="628" ht="21.0" customHeight="1"/>
    <row r="629" ht="21.0" customHeight="1"/>
    <row r="630" ht="21.0" customHeight="1"/>
    <row r="631" ht="21.0" customHeight="1"/>
    <row r="632" ht="21.0" customHeight="1"/>
    <row r="633" ht="21.0" customHeight="1"/>
    <row r="634" ht="21.0" customHeight="1"/>
    <row r="635" ht="21.0" customHeight="1"/>
    <row r="636" ht="21.0" customHeight="1"/>
    <row r="637" ht="21.0" customHeight="1"/>
    <row r="638" ht="21.0" customHeight="1"/>
    <row r="639" ht="21.0" customHeight="1"/>
    <row r="640" ht="21.0" customHeight="1"/>
    <row r="641" ht="21.0" customHeight="1"/>
    <row r="642" ht="21.0" customHeight="1"/>
    <row r="643" ht="21.0" customHeight="1"/>
    <row r="644" ht="21.0" customHeight="1"/>
    <row r="645" ht="21.0" customHeight="1"/>
    <row r="646" ht="21.0" customHeight="1"/>
    <row r="647" ht="21.0" customHeight="1"/>
    <row r="648" ht="21.0" customHeight="1"/>
    <row r="649" ht="21.0" customHeight="1"/>
    <row r="650" ht="21.0" customHeight="1"/>
    <row r="651" ht="21.0" customHeight="1"/>
    <row r="652" ht="21.0" customHeight="1"/>
    <row r="653" ht="21.0" customHeight="1"/>
    <row r="654" ht="21.0" customHeight="1"/>
    <row r="655" ht="21.0" customHeight="1"/>
    <row r="656" ht="21.0" customHeight="1"/>
    <row r="657" ht="21.0" customHeight="1"/>
    <row r="658" ht="21.0" customHeight="1"/>
    <row r="659" ht="21.0" customHeight="1"/>
    <row r="660" ht="21.0" customHeight="1"/>
    <row r="661" ht="21.0" customHeight="1"/>
    <row r="662" ht="21.0" customHeight="1"/>
    <row r="663" ht="21.0" customHeight="1"/>
    <row r="664" ht="21.0" customHeight="1"/>
    <row r="665" ht="21.0" customHeight="1"/>
    <row r="666" ht="21.0" customHeight="1"/>
    <row r="667" ht="21.0" customHeight="1"/>
    <row r="668" ht="21.0" customHeight="1"/>
    <row r="669" ht="21.0" customHeight="1"/>
    <row r="670" ht="21.0" customHeight="1"/>
    <row r="671" ht="21.0" customHeight="1"/>
    <row r="672" ht="21.0" customHeight="1"/>
    <row r="673" ht="21.0" customHeight="1"/>
    <row r="674" ht="21.0" customHeight="1"/>
    <row r="675" ht="21.0" customHeight="1"/>
    <row r="676" ht="21.0" customHeight="1"/>
    <row r="677" ht="21.0" customHeight="1"/>
    <row r="678" ht="21.0" customHeight="1"/>
    <row r="679" ht="21.0" customHeight="1"/>
    <row r="680" ht="21.0" customHeight="1"/>
    <row r="681" ht="21.0" customHeight="1"/>
    <row r="682" ht="21.0" customHeight="1"/>
    <row r="683" ht="21.0" customHeight="1"/>
    <row r="684" ht="21.0" customHeight="1"/>
    <row r="685" ht="21.0" customHeight="1"/>
    <row r="686" ht="21.0" customHeight="1"/>
    <row r="687" ht="21.0" customHeight="1"/>
    <row r="688" ht="21.0" customHeight="1"/>
    <row r="689" ht="21.0" customHeight="1"/>
    <row r="690" ht="21.0" customHeight="1"/>
    <row r="691" ht="21.0" customHeight="1"/>
    <row r="692" ht="21.0" customHeight="1"/>
    <row r="693" ht="21.0" customHeight="1"/>
    <row r="694" ht="21.0" customHeight="1"/>
    <row r="695" ht="21.0" customHeight="1"/>
    <row r="696" ht="21.0" customHeight="1"/>
    <row r="697" ht="21.0" customHeight="1"/>
    <row r="698" ht="21.0" customHeight="1"/>
    <row r="699" ht="21.0" customHeight="1"/>
    <row r="700" ht="21.0" customHeight="1"/>
    <row r="701" ht="21.0" customHeight="1"/>
    <row r="702" ht="21.0" customHeight="1"/>
    <row r="703" ht="21.0" customHeight="1"/>
    <row r="704" ht="21.0" customHeight="1"/>
    <row r="705" ht="21.0" customHeight="1"/>
    <row r="706" ht="21.0" customHeight="1"/>
    <row r="707" ht="21.0" customHeight="1"/>
    <row r="708" ht="21.0" customHeight="1"/>
    <row r="709" ht="21.0" customHeight="1"/>
    <row r="710" ht="21.0" customHeight="1"/>
    <row r="711" ht="21.0" customHeight="1"/>
    <row r="712" ht="21.0" customHeight="1"/>
    <row r="713" ht="21.0" customHeight="1"/>
    <row r="714" ht="21.0" customHeight="1"/>
    <row r="715" ht="21.0" customHeight="1"/>
    <row r="716" ht="21.0" customHeight="1"/>
    <row r="717" ht="21.0" customHeight="1"/>
    <row r="718" ht="21.0" customHeight="1"/>
    <row r="719" ht="21.0" customHeight="1"/>
    <row r="720" ht="21.0" customHeight="1"/>
    <row r="721" ht="21.0" customHeight="1"/>
    <row r="722" ht="21.0" customHeight="1"/>
    <row r="723" ht="21.0" customHeight="1"/>
    <row r="724" ht="21.0" customHeight="1"/>
    <row r="725" ht="21.0" customHeight="1"/>
    <row r="726" ht="21.0" customHeight="1"/>
    <row r="727" ht="21.0" customHeight="1"/>
    <row r="728" ht="21.0" customHeight="1"/>
    <row r="729" ht="21.0" customHeight="1"/>
    <row r="730" ht="21.0" customHeight="1"/>
    <row r="731" ht="21.0" customHeight="1"/>
    <row r="732" ht="21.0" customHeight="1"/>
    <row r="733" ht="21.0" customHeight="1"/>
    <row r="734" ht="21.0" customHeight="1"/>
    <row r="735" ht="21.0" customHeight="1"/>
    <row r="736" ht="21.0" customHeight="1"/>
    <row r="737" ht="21.0" customHeight="1"/>
    <row r="738" ht="21.0" customHeight="1"/>
    <row r="739" ht="21.0" customHeight="1"/>
    <row r="740" ht="21.0" customHeight="1"/>
    <row r="741" ht="21.0" customHeight="1"/>
    <row r="742" ht="21.0" customHeight="1"/>
    <row r="743" ht="21.0" customHeight="1"/>
    <row r="744" ht="21.0" customHeight="1"/>
    <row r="745" ht="21.0" customHeight="1"/>
    <row r="746" ht="21.0" customHeight="1"/>
    <row r="747" ht="21.0" customHeight="1"/>
    <row r="748" ht="21.0" customHeight="1"/>
    <row r="749" ht="21.0" customHeight="1"/>
    <row r="750" ht="21.0" customHeight="1"/>
    <row r="751" ht="21.0" customHeight="1"/>
    <row r="752" ht="21.0" customHeight="1"/>
    <row r="753" ht="21.0" customHeight="1"/>
    <row r="754" ht="21.0" customHeight="1"/>
    <row r="755" ht="21.0" customHeight="1"/>
    <row r="756" ht="21.0" customHeight="1"/>
    <row r="757" ht="21.0" customHeight="1"/>
    <row r="758" ht="21.0" customHeight="1"/>
    <row r="759" ht="21.0" customHeight="1"/>
    <row r="760" ht="21.0" customHeight="1"/>
    <row r="761" ht="21.0" customHeight="1"/>
    <row r="762" ht="21.0" customHeight="1"/>
    <row r="763" ht="21.0" customHeight="1"/>
    <row r="764" ht="21.0" customHeight="1"/>
    <row r="765" ht="21.0" customHeight="1"/>
    <row r="766" ht="21.0" customHeight="1"/>
    <row r="767" ht="21.0" customHeight="1"/>
    <row r="768" ht="21.0" customHeight="1"/>
    <row r="769" ht="21.0" customHeight="1"/>
    <row r="770" ht="21.0" customHeight="1"/>
    <row r="771" ht="21.0" customHeight="1"/>
    <row r="772" ht="21.0" customHeight="1"/>
    <row r="773" ht="21.0" customHeight="1"/>
    <row r="774" ht="21.0" customHeight="1"/>
    <row r="775" ht="21.0" customHeight="1"/>
    <row r="776" ht="21.0" customHeight="1"/>
    <row r="777" ht="21.0" customHeight="1"/>
    <row r="778" ht="21.0" customHeight="1"/>
    <row r="779" ht="21.0" customHeight="1"/>
    <row r="780" ht="21.0" customHeight="1"/>
    <row r="781" ht="21.0" customHeight="1"/>
    <row r="782" ht="21.0" customHeight="1"/>
    <row r="783" ht="21.0" customHeight="1"/>
    <row r="784" ht="21.0" customHeight="1"/>
    <row r="785" ht="21.0" customHeight="1"/>
    <row r="786" ht="21.0" customHeight="1"/>
    <row r="787" ht="21.0" customHeight="1"/>
    <row r="788" ht="21.0" customHeight="1"/>
    <row r="789" ht="21.0" customHeight="1"/>
    <row r="790" ht="21.0" customHeight="1"/>
    <row r="791" ht="21.0" customHeight="1"/>
    <row r="792" ht="21.0" customHeight="1"/>
    <row r="793" ht="21.0" customHeight="1"/>
    <row r="794" ht="21.0" customHeight="1"/>
    <row r="795" ht="21.0" customHeight="1"/>
    <row r="796" ht="21.0" customHeight="1"/>
    <row r="797" ht="21.0" customHeight="1"/>
    <row r="798" ht="21.0" customHeight="1"/>
    <row r="799" ht="21.0" customHeight="1"/>
    <row r="800" ht="21.0" customHeight="1"/>
    <row r="801" ht="21.0" customHeight="1"/>
    <row r="802" ht="21.0" customHeight="1"/>
    <row r="803" ht="21.0" customHeight="1"/>
    <row r="804" ht="21.0" customHeight="1"/>
    <row r="805" ht="21.0" customHeight="1"/>
    <row r="806" ht="21.0" customHeight="1"/>
    <row r="807" ht="21.0" customHeight="1"/>
    <row r="808" ht="21.0" customHeight="1"/>
    <row r="809" ht="21.0" customHeight="1"/>
    <row r="810" ht="21.0" customHeight="1"/>
    <row r="811" ht="21.0" customHeight="1"/>
    <row r="812" ht="21.0" customHeight="1"/>
    <row r="813" ht="21.0" customHeight="1"/>
    <row r="814" ht="21.0" customHeight="1"/>
    <row r="815" ht="21.0" customHeight="1"/>
    <row r="816" ht="21.0" customHeight="1"/>
    <row r="817" ht="21.0" customHeight="1"/>
    <row r="818" ht="21.0" customHeight="1"/>
    <row r="819" ht="21.0" customHeight="1"/>
    <row r="820" ht="21.0" customHeight="1"/>
    <row r="821" ht="21.0" customHeight="1"/>
    <row r="822" ht="21.0" customHeight="1"/>
    <row r="823" ht="21.0" customHeight="1"/>
    <row r="824" ht="21.0" customHeight="1"/>
    <row r="825" ht="21.0" customHeight="1"/>
    <row r="826" ht="21.0" customHeight="1"/>
    <row r="827" ht="21.0" customHeight="1"/>
    <row r="828" ht="21.0" customHeight="1"/>
    <row r="829" ht="21.0" customHeight="1"/>
    <row r="830" ht="21.0" customHeight="1"/>
    <row r="831" ht="21.0" customHeight="1"/>
    <row r="832" ht="21.0" customHeight="1"/>
    <row r="833" ht="21.0" customHeight="1"/>
    <row r="834" ht="21.0" customHeight="1"/>
    <row r="835" ht="21.0" customHeight="1"/>
    <row r="836" ht="21.0" customHeight="1"/>
    <row r="837" ht="21.0" customHeight="1"/>
    <row r="838" ht="21.0" customHeight="1"/>
    <row r="839" ht="21.0" customHeight="1"/>
    <row r="840" ht="21.0" customHeight="1"/>
    <row r="841" ht="21.0" customHeight="1"/>
    <row r="842" ht="21.0" customHeight="1"/>
    <row r="843" ht="21.0" customHeight="1"/>
    <row r="844" ht="21.0" customHeight="1"/>
    <row r="845" ht="21.0" customHeight="1"/>
    <row r="846" ht="21.0" customHeight="1"/>
    <row r="847" ht="21.0" customHeight="1"/>
    <row r="848" ht="21.0" customHeight="1"/>
    <row r="849" ht="21.0" customHeight="1"/>
    <row r="850" ht="21.0" customHeight="1"/>
    <row r="851" ht="21.0" customHeight="1"/>
    <row r="852" ht="21.0" customHeight="1"/>
    <row r="853" ht="21.0" customHeight="1"/>
    <row r="854" ht="21.0" customHeight="1"/>
    <row r="855" ht="21.0" customHeight="1"/>
    <row r="856" ht="21.0" customHeight="1"/>
    <row r="857" ht="21.0" customHeight="1"/>
    <row r="858" ht="21.0" customHeight="1"/>
    <row r="859" ht="21.0" customHeight="1"/>
    <row r="860" ht="21.0" customHeight="1"/>
    <row r="861" ht="21.0" customHeight="1"/>
    <row r="862" ht="21.0" customHeight="1"/>
    <row r="863" ht="21.0" customHeight="1"/>
    <row r="864" ht="21.0" customHeight="1"/>
    <row r="865" ht="21.0" customHeight="1"/>
    <row r="866" ht="21.0" customHeight="1"/>
    <row r="867" ht="21.0" customHeight="1"/>
    <row r="868" ht="21.0" customHeight="1"/>
    <row r="869" ht="21.0" customHeight="1"/>
    <row r="870" ht="21.0" customHeight="1"/>
    <row r="871" ht="21.0" customHeight="1"/>
    <row r="872" ht="21.0" customHeight="1"/>
    <row r="873" ht="21.0" customHeight="1"/>
    <row r="874" ht="21.0" customHeight="1"/>
    <row r="875" ht="21.0" customHeight="1"/>
    <row r="876" ht="21.0" customHeight="1"/>
    <row r="877" ht="21.0" customHeight="1"/>
    <row r="878" ht="21.0" customHeight="1"/>
    <row r="879" ht="21.0" customHeight="1"/>
    <row r="880" ht="21.0" customHeight="1"/>
    <row r="881" ht="21.0" customHeight="1"/>
    <row r="882" ht="21.0" customHeight="1"/>
    <row r="883" ht="21.0" customHeight="1"/>
    <row r="884" ht="21.0" customHeight="1"/>
    <row r="885" ht="21.0" customHeight="1"/>
    <row r="886" ht="21.0" customHeight="1"/>
    <row r="887" ht="21.0" customHeight="1"/>
    <row r="888" ht="21.0" customHeight="1"/>
    <row r="889" ht="21.0" customHeight="1"/>
    <row r="890" ht="21.0" customHeight="1"/>
    <row r="891" ht="21.0" customHeight="1"/>
    <row r="892" ht="21.0" customHeight="1"/>
    <row r="893" ht="21.0" customHeight="1"/>
    <row r="894" ht="21.0" customHeight="1"/>
    <row r="895" ht="21.0" customHeight="1"/>
    <row r="896" ht="21.0" customHeight="1"/>
    <row r="897" ht="21.0" customHeight="1"/>
    <row r="898" ht="21.0" customHeight="1"/>
    <row r="899" ht="21.0" customHeight="1"/>
    <row r="900" ht="21.0" customHeight="1"/>
    <row r="901" ht="21.0" customHeight="1"/>
    <row r="902" ht="21.0" customHeight="1"/>
    <row r="903" ht="21.0" customHeight="1"/>
    <row r="904" ht="21.0" customHeight="1"/>
    <row r="905" ht="21.0" customHeight="1"/>
    <row r="906" ht="21.0" customHeight="1"/>
    <row r="907" ht="21.0" customHeight="1"/>
    <row r="908" ht="21.0" customHeight="1"/>
    <row r="909" ht="21.0" customHeight="1"/>
    <row r="910" ht="21.0" customHeight="1"/>
    <row r="911" ht="21.0" customHeight="1"/>
    <row r="912" ht="21.0" customHeight="1"/>
    <row r="913" ht="21.0" customHeight="1"/>
    <row r="914" ht="21.0" customHeight="1"/>
    <row r="915" ht="21.0" customHeight="1"/>
    <row r="916" ht="21.0" customHeight="1"/>
    <row r="917" ht="21.0" customHeight="1"/>
    <row r="918" ht="21.0" customHeight="1"/>
    <row r="919" ht="21.0" customHeight="1"/>
    <row r="920" ht="21.0" customHeight="1"/>
    <row r="921" ht="21.0" customHeight="1"/>
    <row r="922" ht="21.0" customHeight="1"/>
    <row r="923" ht="21.0" customHeight="1"/>
    <row r="924" ht="21.0" customHeight="1"/>
    <row r="925" ht="21.0" customHeight="1"/>
    <row r="926" ht="21.0" customHeight="1"/>
    <row r="927" ht="21.0" customHeight="1"/>
    <row r="928" ht="21.0" customHeight="1"/>
    <row r="929" ht="21.0" customHeight="1"/>
    <row r="930" ht="21.0" customHeight="1"/>
    <row r="931" ht="21.0" customHeight="1"/>
    <row r="932" ht="21.0" customHeight="1"/>
    <row r="933" ht="21.0" customHeight="1"/>
    <row r="934" ht="21.0" customHeight="1"/>
    <row r="935" ht="21.0" customHeight="1"/>
    <row r="936" ht="21.0" customHeight="1"/>
    <row r="937" ht="21.0" customHeight="1"/>
    <row r="938" ht="21.0" customHeight="1"/>
    <row r="939" ht="21.0" customHeight="1"/>
    <row r="940" ht="21.0" customHeight="1"/>
    <row r="941" ht="21.0" customHeight="1"/>
    <row r="942" ht="21.0" customHeight="1"/>
    <row r="943" ht="21.0" customHeight="1"/>
    <row r="944" ht="21.0" customHeight="1"/>
    <row r="945" ht="21.0" customHeight="1"/>
    <row r="946" ht="21.0" customHeight="1"/>
    <row r="947" ht="21.0" customHeight="1"/>
    <row r="948" ht="21.0" customHeight="1"/>
    <row r="949" ht="21.0" customHeight="1"/>
    <row r="950" ht="21.0" customHeight="1"/>
    <row r="951" ht="21.0" customHeight="1"/>
    <row r="952" ht="21.0" customHeight="1"/>
    <row r="953" ht="21.0" customHeight="1"/>
    <row r="954" ht="21.0" customHeight="1"/>
    <row r="955" ht="21.0" customHeight="1"/>
    <row r="956" ht="21.0" customHeight="1"/>
    <row r="957" ht="21.0" customHeight="1"/>
    <row r="958" ht="21.0" customHeight="1"/>
    <row r="959" ht="21.0" customHeight="1"/>
    <row r="960" ht="21.0" customHeight="1"/>
    <row r="961" ht="21.0" customHeight="1"/>
    <row r="962" ht="21.0" customHeight="1"/>
    <row r="963" ht="21.0" customHeight="1"/>
    <row r="964" ht="21.0" customHeight="1"/>
    <row r="965" ht="21.0" customHeight="1"/>
    <row r="966" ht="21.0" customHeight="1"/>
    <row r="967" ht="21.0" customHeight="1"/>
    <row r="968" ht="21.0" customHeight="1"/>
    <row r="969" ht="21.0" customHeight="1"/>
    <row r="970" ht="21.0" customHeight="1"/>
    <row r="971" ht="21.0" customHeight="1"/>
    <row r="972" ht="21.0" customHeight="1"/>
    <row r="973" ht="21.0" customHeight="1"/>
    <row r="974" ht="21.0" customHeight="1"/>
    <row r="975" ht="21.0" customHeight="1"/>
    <row r="976" ht="21.0" customHeight="1"/>
    <row r="977" ht="21.0" customHeight="1"/>
    <row r="978" ht="21.0" customHeight="1"/>
    <row r="979" ht="21.0" customHeight="1"/>
    <row r="980" ht="21.0" customHeight="1"/>
    <row r="981" ht="21.0" customHeight="1"/>
    <row r="982" ht="21.0" customHeight="1"/>
    <row r="983" ht="21.0" customHeight="1"/>
    <row r="984" ht="21.0" customHeight="1"/>
    <row r="985" ht="21.0" customHeight="1"/>
    <row r="986" ht="21.0" customHeight="1"/>
    <row r="987" ht="21.0" customHeight="1"/>
    <row r="988" ht="21.0" customHeight="1"/>
    <row r="989" ht="21.0" customHeight="1"/>
    <row r="990" ht="21.0" customHeight="1"/>
    <row r="991" ht="21.0" customHeight="1"/>
    <row r="992" ht="21.0" customHeight="1"/>
    <row r="993" ht="21.0" customHeight="1"/>
    <row r="994" ht="21.0" customHeight="1"/>
    <row r="995" ht="21.0" customHeight="1"/>
    <row r="996" ht="21.0" customHeight="1"/>
    <row r="997" ht="21.0" customHeight="1"/>
    <row r="998" ht="21.0" customHeight="1"/>
    <row r="999" ht="21.0" customHeight="1"/>
    <row r="1000" ht="21.0" customHeight="1"/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1" width="4.38"/>
    <col customWidth="1" min="2" max="2" width="28.0"/>
    <col customWidth="1" min="3" max="3" width="25.38"/>
    <col customWidth="1" min="5" max="5" width="22.38"/>
    <col customWidth="1" min="6" max="6" width="16.88"/>
    <col customWidth="1" min="7" max="7" width="28.0"/>
    <col customWidth="1" min="8" max="8" width="27.88"/>
    <col customWidth="1" min="9" max="9" width="17.5"/>
  </cols>
  <sheetData>
    <row r="1">
      <c r="A1" s="19"/>
      <c r="B1" s="19"/>
      <c r="C1" s="19"/>
      <c r="D1" s="19"/>
      <c r="E1" s="19"/>
      <c r="F1" s="19"/>
    </row>
    <row r="2">
      <c r="A2" s="19"/>
      <c r="B2" s="19" t="s">
        <v>1052</v>
      </c>
    </row>
    <row r="3">
      <c r="B3" s="20" t="s">
        <v>1053</v>
      </c>
    </row>
    <row r="6">
      <c r="A6" s="21"/>
      <c r="C6" s="58" t="s">
        <v>1054</v>
      </c>
      <c r="D6" s="59">
        <f>COUNTA(FINAL_DATA!A2:A1001)</f>
        <v>191</v>
      </c>
      <c r="G6" s="58" t="s">
        <v>1055</v>
      </c>
      <c r="H6" s="24"/>
    </row>
    <row r="7">
      <c r="A7" s="11"/>
      <c r="C7" s="60" t="s">
        <v>1056</v>
      </c>
      <c r="D7" s="61">
        <f>SUM(FINAL_DATA!J2:J192)</f>
        <v>311450</v>
      </c>
      <c r="G7" s="60" t="s">
        <v>1032</v>
      </c>
      <c r="H7" s="62">
        <v>200.0</v>
      </c>
    </row>
    <row r="8">
      <c r="A8" s="11"/>
      <c r="C8" s="60" t="s">
        <v>1057</v>
      </c>
      <c r="D8" s="61">
        <f>AVERAGE(FINAL_DATA!J2:J192)</f>
        <v>1739.944134</v>
      </c>
      <c r="G8" s="60" t="s">
        <v>1058</v>
      </c>
      <c r="H8" s="62">
        <v>9.0</v>
      </c>
    </row>
    <row r="9">
      <c r="A9" s="11"/>
      <c r="C9" s="60" t="s">
        <v>1059</v>
      </c>
      <c r="D9" s="63">
        <f>COUNTBLANK(FINAL_DATA!J2:J192)</f>
        <v>12</v>
      </c>
      <c r="G9" s="60" t="s">
        <v>1060</v>
      </c>
      <c r="H9" s="62">
        <v>191.0</v>
      </c>
    </row>
    <row r="10">
      <c r="A10" s="11"/>
      <c r="C10" s="64" t="s">
        <v>1061</v>
      </c>
      <c r="D10" s="65">
        <f>COUNTBLANK(FINAL_DATA!I2:I192)</f>
        <v>4</v>
      </c>
      <c r="G10" s="60" t="s">
        <v>1049</v>
      </c>
      <c r="H10" s="66">
        <v>0.045</v>
      </c>
    </row>
    <row r="11">
      <c r="A11" s="11"/>
      <c r="D11" s="11"/>
      <c r="E11" s="11"/>
      <c r="G11" s="60" t="s">
        <v>1041</v>
      </c>
      <c r="H11" s="62">
        <v>4.0</v>
      </c>
    </row>
    <row r="12">
      <c r="A12" s="11"/>
      <c r="D12" s="11"/>
      <c r="E12" s="11"/>
      <c r="G12" s="60" t="s">
        <v>1042</v>
      </c>
      <c r="H12" s="62">
        <v>4.0</v>
      </c>
    </row>
    <row r="13">
      <c r="A13" s="21"/>
      <c r="D13" s="21"/>
      <c r="E13" s="21"/>
      <c r="G13" s="64" t="s">
        <v>1051</v>
      </c>
      <c r="H13" s="65">
        <v>7.0</v>
      </c>
    </row>
    <row r="14">
      <c r="A14" s="21"/>
      <c r="B14" s="21"/>
      <c r="C14" s="21"/>
      <c r="E14" s="21"/>
      <c r="F14" s="21"/>
    </row>
    <row r="15">
      <c r="A15" s="21"/>
      <c r="B15" s="21"/>
      <c r="C15" s="21"/>
      <c r="E15" s="21"/>
      <c r="F15" s="21"/>
    </row>
    <row r="16">
      <c r="A16" s="21"/>
      <c r="B16" s="21"/>
      <c r="C16" s="21"/>
      <c r="E16" s="21"/>
      <c r="F16" s="21"/>
    </row>
    <row r="17">
      <c r="A17" s="21"/>
      <c r="B17" s="67" t="s">
        <v>1062</v>
      </c>
      <c r="C17" s="67" t="s">
        <v>1063</v>
      </c>
      <c r="E17" s="67" t="s">
        <v>1064</v>
      </c>
      <c r="F17" s="67" t="s">
        <v>1065</v>
      </c>
      <c r="H17" s="67" t="s">
        <v>1066</v>
      </c>
      <c r="I17" s="67" t="s">
        <v>1065</v>
      </c>
    </row>
    <row r="18">
      <c r="B18" s="68" t="s">
        <v>1067</v>
      </c>
      <c r="C18" s="69">
        <v>26.0</v>
      </c>
      <c r="E18" s="70" t="s">
        <v>133</v>
      </c>
      <c r="F18" s="70">
        <v>30.0</v>
      </c>
      <c r="H18" s="68" t="s">
        <v>1068</v>
      </c>
      <c r="I18" s="69">
        <v>37.0</v>
      </c>
    </row>
    <row r="19">
      <c r="B19" s="68" t="s">
        <v>1069</v>
      </c>
      <c r="C19" s="69">
        <v>31.0</v>
      </c>
      <c r="E19" s="70" t="s">
        <v>39</v>
      </c>
      <c r="F19" s="70">
        <v>27.0</v>
      </c>
      <c r="H19" s="68" t="s">
        <v>1070</v>
      </c>
      <c r="I19" s="69">
        <v>39.0</v>
      </c>
    </row>
    <row r="20">
      <c r="B20" s="68" t="s">
        <v>1071</v>
      </c>
      <c r="C20" s="69">
        <v>23.0</v>
      </c>
      <c r="E20" s="70" t="s">
        <v>106</v>
      </c>
      <c r="F20" s="70">
        <v>31.0</v>
      </c>
      <c r="H20" s="68" t="s">
        <v>1072</v>
      </c>
      <c r="I20" s="69">
        <v>41.0</v>
      </c>
    </row>
    <row r="21">
      <c r="B21" s="68" t="s">
        <v>1073</v>
      </c>
      <c r="C21" s="69">
        <v>2.0</v>
      </c>
      <c r="E21" s="68" t="s">
        <v>1074</v>
      </c>
      <c r="F21" s="70">
        <v>36.0</v>
      </c>
      <c r="H21" s="68" t="s">
        <v>1075</v>
      </c>
      <c r="I21" s="69">
        <v>31.0</v>
      </c>
    </row>
    <row r="22">
      <c r="B22" s="68" t="s">
        <v>1076</v>
      </c>
      <c r="C22" s="69">
        <v>41.0</v>
      </c>
      <c r="E22" s="68" t="s">
        <v>1077</v>
      </c>
      <c r="F22" s="70">
        <v>25.0</v>
      </c>
      <c r="H22" s="68" t="s">
        <v>1078</v>
      </c>
      <c r="I22" s="69">
        <v>43.0</v>
      </c>
    </row>
    <row r="23">
      <c r="B23" s="68" t="s">
        <v>1079</v>
      </c>
      <c r="C23" s="69">
        <v>35.0</v>
      </c>
      <c r="E23" s="70" t="s">
        <v>57</v>
      </c>
      <c r="F23" s="70">
        <v>42.0</v>
      </c>
    </row>
    <row r="24">
      <c r="B24" s="68" t="s">
        <v>1080</v>
      </c>
      <c r="C24" s="69">
        <v>29.0</v>
      </c>
    </row>
    <row r="26">
      <c r="E26" s="11" t="s">
        <v>32</v>
      </c>
      <c r="F26" s="11" t="s">
        <v>32</v>
      </c>
    </row>
    <row r="27">
      <c r="E27" s="11" t="s">
        <v>32</v>
      </c>
      <c r="F27" s="11" t="s">
        <v>32</v>
      </c>
    </row>
    <row r="28">
      <c r="E28" s="11" t="s">
        <v>378</v>
      </c>
      <c r="F28" s="11" t="s">
        <v>32</v>
      </c>
    </row>
  </sheetData>
  <mergeCells count="3">
    <mergeCell ref="B2:I2"/>
    <mergeCell ref="B3:I3"/>
    <mergeCell ref="G6:H6"/>
  </mergeCell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4.0"/>
    <col customWidth="1" min="2" max="2" width="94.5"/>
    <col customWidth="1" min="3" max="26" width="8.63"/>
  </cols>
  <sheetData>
    <row r="1">
      <c r="A1" s="71" t="s">
        <v>1081</v>
      </c>
    </row>
    <row r="2">
      <c r="A2" s="72" t="s">
        <v>1082</v>
      </c>
    </row>
    <row r="3">
      <c r="A3" s="73"/>
      <c r="B3" s="37"/>
    </row>
    <row r="4">
      <c r="A4" s="74" t="s">
        <v>1083</v>
      </c>
      <c r="B4" s="75" t="s">
        <v>1084</v>
      </c>
    </row>
    <row r="5">
      <c r="A5" s="76" t="s">
        <v>1085</v>
      </c>
      <c r="B5" s="44" t="s">
        <v>1086</v>
      </c>
    </row>
    <row r="6">
      <c r="A6" s="76" t="s">
        <v>1087</v>
      </c>
      <c r="B6" s="44" t="s">
        <v>1088</v>
      </c>
    </row>
    <row r="7">
      <c r="A7" s="76" t="s">
        <v>1089</v>
      </c>
      <c r="B7" s="44" t="s">
        <v>1090</v>
      </c>
    </row>
    <row r="8">
      <c r="A8" s="76" t="s">
        <v>1091</v>
      </c>
      <c r="B8" s="44" t="s">
        <v>1092</v>
      </c>
    </row>
    <row r="9">
      <c r="A9" s="76" t="s">
        <v>1093</v>
      </c>
      <c r="B9" s="44" t="s">
        <v>1094</v>
      </c>
    </row>
    <row r="10">
      <c r="A10" s="76" t="s">
        <v>1095</v>
      </c>
      <c r="B10" s="44" t="s">
        <v>1096</v>
      </c>
    </row>
    <row r="11">
      <c r="A11" s="11"/>
      <c r="B11" s="44"/>
    </row>
    <row r="12">
      <c r="A12" s="11" t="s">
        <v>1097</v>
      </c>
      <c r="B12" s="44" t="s">
        <v>1098</v>
      </c>
    </row>
    <row r="13">
      <c r="A13" s="11"/>
      <c r="B13" s="44"/>
    </row>
    <row r="14">
      <c r="A14" s="76" t="s">
        <v>1099</v>
      </c>
      <c r="B14" s="43" t="s">
        <v>1100</v>
      </c>
    </row>
    <row r="15">
      <c r="A15" s="11" t="s">
        <v>1101</v>
      </c>
      <c r="B15" s="44" t="s">
        <v>1102</v>
      </c>
    </row>
    <row r="16">
      <c r="A16" s="11" t="s">
        <v>1103</v>
      </c>
      <c r="B16" s="44" t="s">
        <v>1104</v>
      </c>
    </row>
    <row r="17">
      <c r="A17" s="11" t="s">
        <v>1105</v>
      </c>
      <c r="B17" s="44" t="s">
        <v>1106</v>
      </c>
    </row>
    <row r="18">
      <c r="A18" s="11" t="s">
        <v>1107</v>
      </c>
      <c r="B18" s="44" t="s">
        <v>1108</v>
      </c>
    </row>
    <row r="19">
      <c r="A19" s="11" t="s">
        <v>1109</v>
      </c>
      <c r="B19" s="44" t="s">
        <v>1110</v>
      </c>
    </row>
    <row r="20">
      <c r="A20" s="77" t="s">
        <v>1111</v>
      </c>
      <c r="B20" s="78" t="s">
        <v>1112</v>
      </c>
    </row>
    <row r="21">
      <c r="A21" s="77" t="s">
        <v>1113</v>
      </c>
      <c r="B21" s="78" t="s">
        <v>1114</v>
      </c>
    </row>
    <row r="22" ht="15.75" customHeight="1">
      <c r="B22" s="41"/>
    </row>
    <row r="23" ht="15.75" customHeight="1">
      <c r="B23" s="41"/>
    </row>
    <row r="24" ht="15.75" customHeight="1">
      <c r="B24" s="41"/>
    </row>
    <row r="25" ht="15.75" customHeight="1">
      <c r="B25" s="41"/>
    </row>
    <row r="26" ht="15.75" customHeight="1">
      <c r="B26" s="41"/>
    </row>
    <row r="27" ht="15.75" customHeight="1">
      <c r="B27" s="41"/>
    </row>
    <row r="28" ht="15.75" customHeight="1">
      <c r="B28" s="41"/>
    </row>
    <row r="29" ht="15.75" customHeight="1">
      <c r="B29" s="41"/>
    </row>
    <row r="30" ht="15.75" customHeight="1">
      <c r="B30" s="41"/>
    </row>
    <row r="31" ht="15.75" customHeight="1">
      <c r="B31" s="41"/>
    </row>
    <row r="32" ht="15.75" customHeight="1">
      <c r="B32" s="41"/>
    </row>
    <row r="33" ht="15.75" customHeight="1">
      <c r="B33" s="41"/>
    </row>
    <row r="34" ht="15.75" customHeight="1">
      <c r="B34" s="41"/>
    </row>
    <row r="35" ht="15.75" customHeight="1">
      <c r="B35" s="41"/>
    </row>
    <row r="36" ht="15.75" customHeight="1">
      <c r="B36" s="41"/>
    </row>
    <row r="37" ht="15.75" customHeight="1">
      <c r="B37" s="41"/>
    </row>
    <row r="38" ht="15.75" customHeight="1">
      <c r="B38" s="41"/>
    </row>
    <row r="39" ht="15.75" customHeight="1">
      <c r="B39" s="41"/>
    </row>
    <row r="40" ht="15.75" customHeight="1">
      <c r="B40" s="41"/>
    </row>
    <row r="41" ht="15.75" customHeight="1">
      <c r="B41" s="41"/>
    </row>
    <row r="42" ht="15.75" customHeight="1">
      <c r="B42" s="41"/>
    </row>
    <row r="43" ht="15.75" customHeight="1">
      <c r="B43" s="41"/>
    </row>
    <row r="44" ht="15.75" customHeight="1">
      <c r="B44" s="41"/>
    </row>
    <row r="45" ht="15.75" customHeight="1">
      <c r="B45" s="41"/>
    </row>
    <row r="46" ht="15.75" customHeight="1">
      <c r="B46" s="41"/>
    </row>
    <row r="47" ht="15.75" customHeight="1">
      <c r="B47" s="41"/>
    </row>
    <row r="48" ht="15.75" customHeight="1">
      <c r="B48" s="41"/>
    </row>
    <row r="49" ht="15.75" customHeight="1">
      <c r="B49" s="41"/>
    </row>
    <row r="50" ht="15.75" customHeight="1">
      <c r="B50" s="41"/>
    </row>
    <row r="51" ht="15.75" customHeight="1">
      <c r="B51" s="41"/>
    </row>
    <row r="52" ht="15.75" customHeight="1">
      <c r="B52" s="41"/>
    </row>
    <row r="53" ht="15.75" customHeight="1">
      <c r="B53" s="41"/>
    </row>
    <row r="54" ht="15.75" customHeight="1">
      <c r="B54" s="41"/>
    </row>
    <row r="55" ht="15.75" customHeight="1">
      <c r="B55" s="41"/>
    </row>
    <row r="56" ht="15.75" customHeight="1">
      <c r="B56" s="41"/>
    </row>
    <row r="57" ht="15.75" customHeight="1">
      <c r="B57" s="41"/>
    </row>
    <row r="58" ht="15.75" customHeight="1">
      <c r="B58" s="41"/>
    </row>
    <row r="59" ht="15.75" customHeight="1">
      <c r="B59" s="41"/>
    </row>
    <row r="60" ht="15.75" customHeight="1">
      <c r="B60" s="41"/>
    </row>
    <row r="61" ht="15.75" customHeight="1">
      <c r="B61" s="41"/>
    </row>
    <row r="62" ht="15.75" customHeight="1">
      <c r="B62" s="41"/>
    </row>
    <row r="63" ht="15.75" customHeight="1">
      <c r="B63" s="41"/>
    </row>
    <row r="64" ht="15.75" customHeight="1">
      <c r="B64" s="41"/>
    </row>
    <row r="65" ht="15.75" customHeight="1">
      <c r="B65" s="41"/>
    </row>
    <row r="66" ht="15.75" customHeight="1">
      <c r="B66" s="41"/>
    </row>
    <row r="67" ht="15.75" customHeight="1">
      <c r="B67" s="41"/>
    </row>
    <row r="68" ht="15.75" customHeight="1">
      <c r="B68" s="41"/>
    </row>
    <row r="69" ht="15.75" customHeight="1">
      <c r="B69" s="41"/>
    </row>
    <row r="70" ht="15.75" customHeight="1">
      <c r="B70" s="41"/>
    </row>
    <row r="71" ht="15.75" customHeight="1">
      <c r="B71" s="41"/>
    </row>
    <row r="72" ht="15.75" customHeight="1">
      <c r="B72" s="41"/>
    </row>
    <row r="73" ht="15.75" customHeight="1">
      <c r="B73" s="41"/>
    </row>
    <row r="74" ht="15.75" customHeight="1">
      <c r="B74" s="41"/>
    </row>
    <row r="75" ht="15.75" customHeight="1">
      <c r="B75" s="41"/>
    </row>
    <row r="76" ht="15.75" customHeight="1">
      <c r="B76" s="41"/>
    </row>
    <row r="77" ht="15.75" customHeight="1">
      <c r="B77" s="41"/>
    </row>
    <row r="78" ht="15.75" customHeight="1">
      <c r="B78" s="41"/>
    </row>
    <row r="79" ht="15.75" customHeight="1">
      <c r="B79" s="41"/>
    </row>
    <row r="80" ht="15.75" customHeight="1">
      <c r="B80" s="41"/>
    </row>
    <row r="81" ht="15.75" customHeight="1">
      <c r="B81" s="41"/>
    </row>
    <row r="82" ht="15.75" customHeight="1">
      <c r="B82" s="41"/>
    </row>
    <row r="83" ht="15.75" customHeight="1">
      <c r="B83" s="41"/>
    </row>
    <row r="84" ht="15.75" customHeight="1">
      <c r="B84" s="41"/>
    </row>
    <row r="85" ht="15.75" customHeight="1">
      <c r="B85" s="41"/>
    </row>
    <row r="86" ht="15.75" customHeight="1">
      <c r="B86" s="41"/>
    </row>
    <row r="87" ht="15.75" customHeight="1">
      <c r="B87" s="41"/>
    </row>
    <row r="88" ht="15.75" customHeight="1">
      <c r="B88" s="41"/>
    </row>
    <row r="89" ht="15.75" customHeight="1">
      <c r="B89" s="41"/>
    </row>
    <row r="90" ht="15.75" customHeight="1">
      <c r="B90" s="41"/>
    </row>
    <row r="91" ht="15.75" customHeight="1">
      <c r="B91" s="41"/>
    </row>
    <row r="92" ht="15.75" customHeight="1">
      <c r="B92" s="41"/>
    </row>
    <row r="93" ht="15.75" customHeight="1">
      <c r="B93" s="41"/>
    </row>
    <row r="94" ht="15.75" customHeight="1">
      <c r="B94" s="41"/>
    </row>
    <row r="95" ht="15.75" customHeight="1">
      <c r="B95" s="41"/>
    </row>
    <row r="96" ht="15.75" customHeight="1">
      <c r="B96" s="41"/>
    </row>
    <row r="97" ht="15.75" customHeight="1">
      <c r="B97" s="41"/>
    </row>
    <row r="98" ht="15.75" customHeight="1">
      <c r="B98" s="41"/>
    </row>
    <row r="99" ht="15.75" customHeight="1">
      <c r="B99" s="41"/>
    </row>
    <row r="100" ht="15.75" customHeight="1">
      <c r="B100" s="41"/>
    </row>
    <row r="101" ht="15.75" customHeight="1">
      <c r="B101" s="41"/>
    </row>
    <row r="102" ht="15.75" customHeight="1">
      <c r="B102" s="41"/>
    </row>
    <row r="103" ht="15.75" customHeight="1">
      <c r="B103" s="41"/>
    </row>
    <row r="104" ht="15.75" customHeight="1">
      <c r="B104" s="41"/>
    </row>
    <row r="105" ht="15.75" customHeight="1">
      <c r="B105" s="41"/>
    </row>
    <row r="106" ht="15.75" customHeight="1">
      <c r="B106" s="41"/>
    </row>
    <row r="107" ht="15.75" customHeight="1">
      <c r="B107" s="41"/>
    </row>
    <row r="108" ht="15.75" customHeight="1">
      <c r="B108" s="41"/>
    </row>
    <row r="109" ht="15.75" customHeight="1">
      <c r="B109" s="41"/>
    </row>
    <row r="110" ht="15.75" customHeight="1">
      <c r="B110" s="41"/>
    </row>
    <row r="111" ht="15.75" customHeight="1">
      <c r="B111" s="41"/>
    </row>
    <row r="112" ht="15.75" customHeight="1">
      <c r="B112" s="41"/>
    </row>
    <row r="113" ht="15.75" customHeight="1">
      <c r="B113" s="41"/>
    </row>
    <row r="114" ht="15.75" customHeight="1">
      <c r="B114" s="41"/>
    </row>
    <row r="115" ht="15.75" customHeight="1">
      <c r="B115" s="41"/>
    </row>
    <row r="116" ht="15.75" customHeight="1">
      <c r="B116" s="41"/>
    </row>
    <row r="117" ht="15.75" customHeight="1">
      <c r="B117" s="41"/>
    </row>
    <row r="118" ht="15.75" customHeight="1">
      <c r="B118" s="41"/>
    </row>
    <row r="119" ht="15.75" customHeight="1">
      <c r="B119" s="41"/>
    </row>
    <row r="120" ht="15.75" customHeight="1">
      <c r="B120" s="41"/>
    </row>
    <row r="121" ht="15.75" customHeight="1">
      <c r="B121" s="41"/>
    </row>
    <row r="122" ht="15.75" customHeight="1">
      <c r="B122" s="41"/>
    </row>
    <row r="123" ht="15.75" customHeight="1">
      <c r="B123" s="41"/>
    </row>
    <row r="124" ht="15.75" customHeight="1">
      <c r="B124" s="41"/>
    </row>
    <row r="125" ht="15.75" customHeight="1">
      <c r="B125" s="41"/>
    </row>
    <row r="126" ht="15.75" customHeight="1">
      <c r="B126" s="41"/>
    </row>
    <row r="127" ht="15.75" customHeight="1">
      <c r="B127" s="41"/>
    </row>
    <row r="128" ht="15.75" customHeight="1">
      <c r="B128" s="41"/>
    </row>
    <row r="129" ht="15.75" customHeight="1">
      <c r="B129" s="41"/>
    </row>
    <row r="130" ht="15.75" customHeight="1">
      <c r="B130" s="41"/>
    </row>
    <row r="131" ht="15.75" customHeight="1">
      <c r="B131" s="41"/>
    </row>
    <row r="132" ht="15.75" customHeight="1">
      <c r="B132" s="41"/>
    </row>
    <row r="133" ht="15.75" customHeight="1">
      <c r="B133" s="41"/>
    </row>
    <row r="134" ht="15.75" customHeight="1">
      <c r="B134" s="41"/>
    </row>
    <row r="135" ht="15.75" customHeight="1">
      <c r="B135" s="41"/>
    </row>
    <row r="136" ht="15.75" customHeight="1">
      <c r="B136" s="41"/>
    </row>
    <row r="137" ht="15.75" customHeight="1">
      <c r="B137" s="41"/>
    </row>
    <row r="138" ht="15.75" customHeight="1">
      <c r="B138" s="41"/>
    </row>
    <row r="139" ht="15.75" customHeight="1">
      <c r="B139" s="41"/>
    </row>
    <row r="140" ht="15.75" customHeight="1">
      <c r="B140" s="41"/>
    </row>
    <row r="141" ht="15.75" customHeight="1">
      <c r="B141" s="41"/>
    </row>
    <row r="142" ht="15.75" customHeight="1">
      <c r="B142" s="41"/>
    </row>
    <row r="143" ht="15.75" customHeight="1">
      <c r="B143" s="41"/>
    </row>
    <row r="144" ht="15.75" customHeight="1">
      <c r="B144" s="41"/>
    </row>
    <row r="145" ht="15.75" customHeight="1">
      <c r="B145" s="41"/>
    </row>
    <row r="146" ht="15.75" customHeight="1">
      <c r="B146" s="41"/>
    </row>
    <row r="147" ht="15.75" customHeight="1">
      <c r="B147" s="41"/>
    </row>
    <row r="148" ht="15.75" customHeight="1">
      <c r="B148" s="41"/>
    </row>
    <row r="149" ht="15.75" customHeight="1">
      <c r="B149" s="41"/>
    </row>
    <row r="150" ht="15.75" customHeight="1">
      <c r="B150" s="41"/>
    </row>
    <row r="151" ht="15.75" customHeight="1">
      <c r="B151" s="41"/>
    </row>
    <row r="152" ht="15.75" customHeight="1">
      <c r="B152" s="41"/>
    </row>
    <row r="153" ht="15.75" customHeight="1">
      <c r="B153" s="41"/>
    </row>
    <row r="154" ht="15.75" customHeight="1">
      <c r="B154" s="41"/>
    </row>
    <row r="155" ht="15.75" customHeight="1">
      <c r="B155" s="41"/>
    </row>
    <row r="156" ht="15.75" customHeight="1">
      <c r="B156" s="41"/>
    </row>
    <row r="157" ht="15.75" customHeight="1">
      <c r="B157" s="41"/>
    </row>
    <row r="158" ht="15.75" customHeight="1">
      <c r="B158" s="41"/>
    </row>
    <row r="159" ht="15.75" customHeight="1">
      <c r="B159" s="41"/>
    </row>
    <row r="160" ht="15.75" customHeight="1">
      <c r="B160" s="41"/>
    </row>
    <row r="161" ht="15.75" customHeight="1">
      <c r="B161" s="41"/>
    </row>
    <row r="162" ht="15.75" customHeight="1">
      <c r="B162" s="41"/>
    </row>
    <row r="163" ht="15.75" customHeight="1">
      <c r="B163" s="41"/>
    </row>
    <row r="164" ht="15.75" customHeight="1">
      <c r="B164" s="41"/>
    </row>
    <row r="165" ht="15.75" customHeight="1">
      <c r="B165" s="41"/>
    </row>
    <row r="166" ht="15.75" customHeight="1">
      <c r="B166" s="41"/>
    </row>
    <row r="167" ht="15.75" customHeight="1">
      <c r="B167" s="41"/>
    </row>
    <row r="168" ht="15.75" customHeight="1">
      <c r="B168" s="41"/>
    </row>
    <row r="169" ht="15.75" customHeight="1">
      <c r="B169" s="41"/>
    </row>
    <row r="170" ht="15.75" customHeight="1">
      <c r="B170" s="41"/>
    </row>
    <row r="171" ht="15.75" customHeight="1">
      <c r="B171" s="41"/>
    </row>
    <row r="172" ht="15.75" customHeight="1">
      <c r="B172" s="41"/>
    </row>
    <row r="173" ht="15.75" customHeight="1">
      <c r="B173" s="41"/>
    </row>
    <row r="174" ht="15.75" customHeight="1">
      <c r="B174" s="41"/>
    </row>
    <row r="175" ht="15.75" customHeight="1">
      <c r="B175" s="41"/>
    </row>
    <row r="176" ht="15.75" customHeight="1">
      <c r="B176" s="41"/>
    </row>
    <row r="177" ht="15.75" customHeight="1">
      <c r="B177" s="41"/>
    </row>
    <row r="178" ht="15.75" customHeight="1">
      <c r="B178" s="41"/>
    </row>
    <row r="179" ht="15.75" customHeight="1">
      <c r="B179" s="41"/>
    </row>
    <row r="180" ht="15.75" customHeight="1">
      <c r="B180" s="41"/>
    </row>
    <row r="181" ht="15.75" customHeight="1">
      <c r="B181" s="41"/>
    </row>
    <row r="182" ht="15.75" customHeight="1">
      <c r="B182" s="41"/>
    </row>
    <row r="183" ht="15.75" customHeight="1">
      <c r="B183" s="41"/>
    </row>
    <row r="184" ht="15.75" customHeight="1">
      <c r="B184" s="41"/>
    </row>
    <row r="185" ht="15.75" customHeight="1">
      <c r="B185" s="41"/>
    </row>
    <row r="186" ht="15.75" customHeight="1">
      <c r="B186" s="41"/>
    </row>
    <row r="187" ht="15.75" customHeight="1">
      <c r="B187" s="41"/>
    </row>
    <row r="188" ht="15.75" customHeight="1">
      <c r="B188" s="41"/>
    </row>
    <row r="189" ht="15.75" customHeight="1">
      <c r="B189" s="41"/>
    </row>
    <row r="190" ht="15.75" customHeight="1">
      <c r="B190" s="41"/>
    </row>
    <row r="191" ht="15.75" customHeight="1">
      <c r="B191" s="41"/>
    </row>
    <row r="192" ht="15.75" customHeight="1">
      <c r="B192" s="41"/>
    </row>
    <row r="193" ht="15.75" customHeight="1">
      <c r="B193" s="41"/>
    </row>
    <row r="194" ht="15.75" customHeight="1">
      <c r="B194" s="41"/>
    </row>
    <row r="195" ht="15.75" customHeight="1">
      <c r="B195" s="41"/>
    </row>
    <row r="196" ht="15.75" customHeight="1">
      <c r="B196" s="41"/>
    </row>
    <row r="197" ht="15.75" customHeight="1">
      <c r="B197" s="41"/>
    </row>
    <row r="198" ht="15.75" customHeight="1">
      <c r="B198" s="41"/>
    </row>
    <row r="199" ht="15.75" customHeight="1">
      <c r="B199" s="41"/>
    </row>
    <row r="200" ht="15.75" customHeight="1">
      <c r="B200" s="41"/>
    </row>
    <row r="201" ht="15.75" customHeight="1">
      <c r="B201" s="41"/>
    </row>
    <row r="202" ht="15.75" customHeight="1">
      <c r="B202" s="41"/>
    </row>
    <row r="203" ht="15.75" customHeight="1">
      <c r="B203" s="41"/>
    </row>
    <row r="204" ht="15.75" customHeight="1">
      <c r="B204" s="41"/>
    </row>
    <row r="205" ht="15.75" customHeight="1">
      <c r="B205" s="41"/>
    </row>
    <row r="206" ht="15.75" customHeight="1">
      <c r="B206" s="41"/>
    </row>
    <row r="207" ht="15.75" customHeight="1">
      <c r="B207" s="41"/>
    </row>
    <row r="208" ht="15.75" customHeight="1">
      <c r="B208" s="41"/>
    </row>
    <row r="209" ht="15.75" customHeight="1">
      <c r="B209" s="41"/>
    </row>
    <row r="210" ht="15.75" customHeight="1">
      <c r="B210" s="41"/>
    </row>
    <row r="211" ht="15.75" customHeight="1">
      <c r="B211" s="41"/>
    </row>
    <row r="212" ht="15.75" customHeight="1">
      <c r="B212" s="41"/>
    </row>
    <row r="213" ht="15.75" customHeight="1">
      <c r="B213" s="41"/>
    </row>
    <row r="214" ht="15.75" customHeight="1">
      <c r="B214" s="41"/>
    </row>
    <row r="215" ht="15.75" customHeight="1">
      <c r="B215" s="41"/>
    </row>
    <row r="216" ht="15.75" customHeight="1">
      <c r="B216" s="41"/>
    </row>
    <row r="217" ht="15.75" customHeight="1">
      <c r="B217" s="41"/>
    </row>
    <row r="218" ht="15.75" customHeight="1">
      <c r="B218" s="41"/>
    </row>
    <row r="219" ht="15.75" customHeight="1">
      <c r="B219" s="41"/>
    </row>
    <row r="220" ht="15.75" customHeight="1">
      <c r="B220" s="41"/>
    </row>
    <row r="221" ht="15.75" customHeight="1">
      <c r="B221" s="41"/>
    </row>
    <row r="222" ht="15.75" customHeight="1">
      <c r="B222" s="41"/>
    </row>
    <row r="223" ht="15.75" customHeight="1">
      <c r="B223" s="41"/>
    </row>
    <row r="224" ht="15.75" customHeight="1">
      <c r="B224" s="41"/>
    </row>
    <row r="225" ht="15.75" customHeight="1">
      <c r="B225" s="41"/>
    </row>
    <row r="226" ht="15.75" customHeight="1">
      <c r="B226" s="41"/>
    </row>
    <row r="227" ht="15.75" customHeight="1">
      <c r="B227" s="41"/>
    </row>
    <row r="228" ht="15.75" customHeight="1">
      <c r="B228" s="41"/>
    </row>
    <row r="229" ht="15.75" customHeight="1">
      <c r="B229" s="41"/>
    </row>
    <row r="230" ht="15.75" customHeight="1">
      <c r="B230" s="41"/>
    </row>
    <row r="231" ht="15.75" customHeight="1">
      <c r="B231" s="41"/>
    </row>
    <row r="232" ht="15.75" customHeight="1">
      <c r="B232" s="41"/>
    </row>
    <row r="233" ht="15.75" customHeight="1">
      <c r="B233" s="41"/>
    </row>
    <row r="234" ht="15.75" customHeight="1">
      <c r="B234" s="41"/>
    </row>
    <row r="235" ht="15.75" customHeight="1">
      <c r="B235" s="41"/>
    </row>
    <row r="236" ht="15.75" customHeight="1">
      <c r="B236" s="41"/>
    </row>
    <row r="237" ht="15.75" customHeight="1">
      <c r="B237" s="41"/>
    </row>
    <row r="238" ht="15.75" customHeight="1">
      <c r="B238" s="41"/>
    </row>
    <row r="239" ht="15.75" customHeight="1">
      <c r="B239" s="41"/>
    </row>
    <row r="240" ht="15.75" customHeight="1">
      <c r="B240" s="41"/>
    </row>
    <row r="241" ht="15.75" customHeight="1">
      <c r="B241" s="41"/>
    </row>
    <row r="242" ht="15.75" customHeight="1">
      <c r="B242" s="41"/>
    </row>
    <row r="243" ht="15.75" customHeight="1">
      <c r="B243" s="41"/>
    </row>
    <row r="244" ht="15.75" customHeight="1">
      <c r="B244" s="41"/>
    </row>
    <row r="245" ht="15.75" customHeight="1">
      <c r="B245" s="41"/>
    </row>
    <row r="246" ht="15.75" customHeight="1">
      <c r="B246" s="41"/>
    </row>
    <row r="247" ht="15.75" customHeight="1">
      <c r="B247" s="41"/>
    </row>
    <row r="248" ht="15.75" customHeight="1">
      <c r="B248" s="41"/>
    </row>
    <row r="249" ht="15.75" customHeight="1">
      <c r="B249" s="41"/>
    </row>
    <row r="250" ht="15.75" customHeight="1">
      <c r="B250" s="41"/>
    </row>
    <row r="251" ht="15.75" customHeight="1">
      <c r="B251" s="41"/>
    </row>
    <row r="252" ht="15.75" customHeight="1">
      <c r="B252" s="41"/>
    </row>
    <row r="253" ht="15.75" customHeight="1">
      <c r="B253" s="41"/>
    </row>
    <row r="254" ht="15.75" customHeight="1">
      <c r="B254" s="41"/>
    </row>
    <row r="255" ht="15.75" customHeight="1">
      <c r="B255" s="41"/>
    </row>
    <row r="256" ht="15.75" customHeight="1">
      <c r="B256" s="41"/>
    </row>
    <row r="257" ht="15.75" customHeight="1">
      <c r="B257" s="41"/>
    </row>
    <row r="258" ht="15.75" customHeight="1">
      <c r="B258" s="41"/>
    </row>
    <row r="259" ht="15.75" customHeight="1">
      <c r="B259" s="41"/>
    </row>
    <row r="260" ht="15.75" customHeight="1">
      <c r="B260" s="41"/>
    </row>
    <row r="261" ht="15.75" customHeight="1">
      <c r="B261" s="41"/>
    </row>
    <row r="262" ht="15.75" customHeight="1">
      <c r="B262" s="41"/>
    </row>
    <row r="263" ht="15.75" customHeight="1">
      <c r="B263" s="41"/>
    </row>
    <row r="264" ht="15.75" customHeight="1">
      <c r="B264" s="41"/>
    </row>
    <row r="265" ht="15.75" customHeight="1">
      <c r="B265" s="41"/>
    </row>
    <row r="266" ht="15.75" customHeight="1">
      <c r="B266" s="41"/>
    </row>
    <row r="267" ht="15.75" customHeight="1">
      <c r="B267" s="41"/>
    </row>
    <row r="268" ht="15.75" customHeight="1">
      <c r="B268" s="41"/>
    </row>
    <row r="269" ht="15.75" customHeight="1">
      <c r="B269" s="41"/>
    </row>
    <row r="270" ht="15.75" customHeight="1">
      <c r="B270" s="41"/>
    </row>
    <row r="271" ht="15.75" customHeight="1">
      <c r="B271" s="41"/>
    </row>
    <row r="272" ht="15.75" customHeight="1">
      <c r="B272" s="41"/>
    </row>
    <row r="273" ht="15.75" customHeight="1">
      <c r="B273" s="41"/>
    </row>
    <row r="274" ht="15.75" customHeight="1">
      <c r="B274" s="41"/>
    </row>
    <row r="275" ht="15.75" customHeight="1">
      <c r="B275" s="41"/>
    </row>
    <row r="276" ht="15.75" customHeight="1">
      <c r="B276" s="41"/>
    </row>
    <row r="277" ht="15.75" customHeight="1">
      <c r="B277" s="41"/>
    </row>
    <row r="278" ht="15.75" customHeight="1">
      <c r="B278" s="41"/>
    </row>
    <row r="279" ht="15.75" customHeight="1">
      <c r="B279" s="41"/>
    </row>
    <row r="280" ht="15.75" customHeight="1">
      <c r="B280" s="41"/>
    </row>
    <row r="281" ht="15.75" customHeight="1">
      <c r="B281" s="41"/>
    </row>
    <row r="282" ht="15.75" customHeight="1">
      <c r="B282" s="41"/>
    </row>
    <row r="283" ht="15.75" customHeight="1">
      <c r="B283" s="41"/>
    </row>
    <row r="284" ht="15.75" customHeight="1">
      <c r="B284" s="41"/>
    </row>
    <row r="285" ht="15.75" customHeight="1">
      <c r="B285" s="41"/>
    </row>
    <row r="286" ht="15.75" customHeight="1">
      <c r="B286" s="41"/>
    </row>
    <row r="287" ht="15.75" customHeight="1">
      <c r="B287" s="41"/>
    </row>
    <row r="288" ht="15.75" customHeight="1">
      <c r="B288" s="41"/>
    </row>
    <row r="289" ht="15.75" customHeight="1">
      <c r="B289" s="41"/>
    </row>
    <row r="290" ht="15.75" customHeight="1">
      <c r="B290" s="41"/>
    </row>
    <row r="291" ht="15.75" customHeight="1">
      <c r="B291" s="41"/>
    </row>
    <row r="292" ht="15.75" customHeight="1">
      <c r="B292" s="41"/>
    </row>
    <row r="293" ht="15.75" customHeight="1">
      <c r="B293" s="41"/>
    </row>
    <row r="294" ht="15.75" customHeight="1">
      <c r="B294" s="41"/>
    </row>
    <row r="295" ht="15.75" customHeight="1">
      <c r="B295" s="41"/>
    </row>
    <row r="296" ht="15.75" customHeight="1">
      <c r="B296" s="41"/>
    </row>
    <row r="297" ht="15.75" customHeight="1">
      <c r="B297" s="41"/>
    </row>
    <row r="298" ht="15.75" customHeight="1">
      <c r="B298" s="41"/>
    </row>
    <row r="299" ht="15.75" customHeight="1">
      <c r="B299" s="41"/>
    </row>
    <row r="300" ht="15.75" customHeight="1">
      <c r="B300" s="41"/>
    </row>
    <row r="301" ht="15.75" customHeight="1">
      <c r="B301" s="41"/>
    </row>
    <row r="302" ht="15.75" customHeight="1">
      <c r="B302" s="41"/>
    </row>
    <row r="303" ht="15.75" customHeight="1">
      <c r="B303" s="41"/>
    </row>
    <row r="304" ht="15.75" customHeight="1">
      <c r="B304" s="41"/>
    </row>
    <row r="305" ht="15.75" customHeight="1">
      <c r="B305" s="41"/>
    </row>
    <row r="306" ht="15.75" customHeight="1">
      <c r="B306" s="41"/>
    </row>
    <row r="307" ht="15.75" customHeight="1">
      <c r="B307" s="41"/>
    </row>
    <row r="308" ht="15.75" customHeight="1">
      <c r="B308" s="41"/>
    </row>
    <row r="309" ht="15.75" customHeight="1">
      <c r="B309" s="41"/>
    </row>
    <row r="310" ht="15.75" customHeight="1">
      <c r="B310" s="41"/>
    </row>
    <row r="311" ht="15.75" customHeight="1">
      <c r="B311" s="41"/>
    </row>
    <row r="312" ht="15.75" customHeight="1">
      <c r="B312" s="41"/>
    </row>
    <row r="313" ht="15.75" customHeight="1">
      <c r="B313" s="41"/>
    </row>
    <row r="314" ht="15.75" customHeight="1">
      <c r="B314" s="41"/>
    </row>
    <row r="315" ht="15.75" customHeight="1">
      <c r="B315" s="41"/>
    </row>
    <row r="316" ht="15.75" customHeight="1">
      <c r="B316" s="41"/>
    </row>
    <row r="317" ht="15.75" customHeight="1">
      <c r="B317" s="41"/>
    </row>
    <row r="318" ht="15.75" customHeight="1">
      <c r="B318" s="41"/>
    </row>
    <row r="319" ht="15.75" customHeight="1">
      <c r="B319" s="41"/>
    </row>
    <row r="320" ht="15.75" customHeight="1">
      <c r="B320" s="41"/>
    </row>
    <row r="321" ht="15.75" customHeight="1">
      <c r="B321" s="41"/>
    </row>
    <row r="322" ht="15.75" customHeight="1">
      <c r="B322" s="41"/>
    </row>
    <row r="323" ht="15.75" customHeight="1">
      <c r="B323" s="41"/>
    </row>
    <row r="324" ht="15.75" customHeight="1">
      <c r="B324" s="41"/>
    </row>
    <row r="325" ht="15.75" customHeight="1">
      <c r="B325" s="41"/>
    </row>
    <row r="326" ht="15.75" customHeight="1">
      <c r="B326" s="41"/>
    </row>
    <row r="327" ht="15.75" customHeight="1">
      <c r="B327" s="41"/>
    </row>
    <row r="328" ht="15.75" customHeight="1">
      <c r="B328" s="41"/>
    </row>
    <row r="329" ht="15.75" customHeight="1">
      <c r="B329" s="41"/>
    </row>
    <row r="330" ht="15.75" customHeight="1">
      <c r="B330" s="41"/>
    </row>
    <row r="331" ht="15.75" customHeight="1">
      <c r="B331" s="41"/>
    </row>
    <row r="332" ht="15.75" customHeight="1">
      <c r="B332" s="41"/>
    </row>
    <row r="333" ht="15.75" customHeight="1">
      <c r="B333" s="41"/>
    </row>
    <row r="334" ht="15.75" customHeight="1">
      <c r="B334" s="41"/>
    </row>
    <row r="335" ht="15.75" customHeight="1">
      <c r="B335" s="41"/>
    </row>
    <row r="336" ht="15.75" customHeight="1">
      <c r="B336" s="41"/>
    </row>
    <row r="337" ht="15.75" customHeight="1">
      <c r="B337" s="41"/>
    </row>
    <row r="338" ht="15.75" customHeight="1">
      <c r="B338" s="41"/>
    </row>
    <row r="339" ht="15.75" customHeight="1">
      <c r="B339" s="41"/>
    </row>
    <row r="340" ht="15.75" customHeight="1">
      <c r="B340" s="41"/>
    </row>
    <row r="341" ht="15.75" customHeight="1">
      <c r="B341" s="41"/>
    </row>
    <row r="342" ht="15.75" customHeight="1">
      <c r="B342" s="41"/>
    </row>
    <row r="343" ht="15.75" customHeight="1">
      <c r="B343" s="41"/>
    </row>
    <row r="344" ht="15.75" customHeight="1">
      <c r="B344" s="41"/>
    </row>
    <row r="345" ht="15.75" customHeight="1">
      <c r="B345" s="41"/>
    </row>
    <row r="346" ht="15.75" customHeight="1">
      <c r="B346" s="41"/>
    </row>
    <row r="347" ht="15.75" customHeight="1">
      <c r="B347" s="41"/>
    </row>
    <row r="348" ht="15.75" customHeight="1">
      <c r="B348" s="41"/>
    </row>
    <row r="349" ht="15.75" customHeight="1">
      <c r="B349" s="41"/>
    </row>
    <row r="350" ht="15.75" customHeight="1">
      <c r="B350" s="41"/>
    </row>
    <row r="351" ht="15.75" customHeight="1">
      <c r="B351" s="41"/>
    </row>
    <row r="352" ht="15.75" customHeight="1">
      <c r="B352" s="41"/>
    </row>
    <row r="353" ht="15.75" customHeight="1">
      <c r="B353" s="41"/>
    </row>
    <row r="354" ht="15.75" customHeight="1">
      <c r="B354" s="41"/>
    </row>
    <row r="355" ht="15.75" customHeight="1">
      <c r="B355" s="41"/>
    </row>
    <row r="356" ht="15.75" customHeight="1">
      <c r="B356" s="41"/>
    </row>
    <row r="357" ht="15.75" customHeight="1">
      <c r="B357" s="41"/>
    </row>
    <row r="358" ht="15.75" customHeight="1">
      <c r="B358" s="41"/>
    </row>
    <row r="359" ht="15.75" customHeight="1">
      <c r="B359" s="41"/>
    </row>
    <row r="360" ht="15.75" customHeight="1">
      <c r="B360" s="41"/>
    </row>
    <row r="361" ht="15.75" customHeight="1">
      <c r="B361" s="41"/>
    </row>
    <row r="362" ht="15.75" customHeight="1">
      <c r="B362" s="41"/>
    </row>
    <row r="363" ht="15.75" customHeight="1">
      <c r="B363" s="41"/>
    </row>
    <row r="364" ht="15.75" customHeight="1">
      <c r="B364" s="41"/>
    </row>
    <row r="365" ht="15.75" customHeight="1">
      <c r="B365" s="41"/>
    </row>
    <row r="366" ht="15.75" customHeight="1">
      <c r="B366" s="41"/>
    </row>
    <row r="367" ht="15.75" customHeight="1">
      <c r="B367" s="41"/>
    </row>
    <row r="368" ht="15.75" customHeight="1">
      <c r="B368" s="41"/>
    </row>
    <row r="369" ht="15.75" customHeight="1">
      <c r="B369" s="41"/>
    </row>
    <row r="370" ht="15.75" customHeight="1">
      <c r="B370" s="41"/>
    </row>
    <row r="371" ht="15.75" customHeight="1">
      <c r="B371" s="41"/>
    </row>
    <row r="372" ht="15.75" customHeight="1">
      <c r="B372" s="41"/>
    </row>
    <row r="373" ht="15.75" customHeight="1">
      <c r="B373" s="41"/>
    </row>
    <row r="374" ht="15.75" customHeight="1">
      <c r="B374" s="41"/>
    </row>
    <row r="375" ht="15.75" customHeight="1">
      <c r="B375" s="41"/>
    </row>
    <row r="376" ht="15.75" customHeight="1">
      <c r="B376" s="41"/>
    </row>
    <row r="377" ht="15.75" customHeight="1">
      <c r="B377" s="41"/>
    </row>
    <row r="378" ht="15.75" customHeight="1">
      <c r="B378" s="41"/>
    </row>
    <row r="379" ht="15.75" customHeight="1">
      <c r="B379" s="41"/>
    </row>
    <row r="380" ht="15.75" customHeight="1">
      <c r="B380" s="41"/>
    </row>
    <row r="381" ht="15.75" customHeight="1">
      <c r="B381" s="41"/>
    </row>
    <row r="382" ht="15.75" customHeight="1">
      <c r="B382" s="41"/>
    </row>
    <row r="383" ht="15.75" customHeight="1">
      <c r="B383" s="41"/>
    </row>
    <row r="384" ht="15.75" customHeight="1">
      <c r="B384" s="41"/>
    </row>
    <row r="385" ht="15.75" customHeight="1">
      <c r="B385" s="41"/>
    </row>
    <row r="386" ht="15.75" customHeight="1">
      <c r="B386" s="41"/>
    </row>
    <row r="387" ht="15.75" customHeight="1">
      <c r="B387" s="41"/>
    </row>
    <row r="388" ht="15.75" customHeight="1">
      <c r="B388" s="41"/>
    </row>
    <row r="389" ht="15.75" customHeight="1">
      <c r="B389" s="41"/>
    </row>
    <row r="390" ht="15.75" customHeight="1">
      <c r="B390" s="41"/>
    </row>
    <row r="391" ht="15.75" customHeight="1">
      <c r="B391" s="41"/>
    </row>
    <row r="392" ht="15.75" customHeight="1">
      <c r="B392" s="41"/>
    </row>
    <row r="393" ht="15.75" customHeight="1">
      <c r="B393" s="41"/>
    </row>
    <row r="394" ht="15.75" customHeight="1">
      <c r="B394" s="41"/>
    </row>
    <row r="395" ht="15.75" customHeight="1">
      <c r="B395" s="41"/>
    </row>
    <row r="396" ht="15.75" customHeight="1">
      <c r="B396" s="41"/>
    </row>
    <row r="397" ht="15.75" customHeight="1">
      <c r="B397" s="41"/>
    </row>
    <row r="398" ht="15.75" customHeight="1">
      <c r="B398" s="41"/>
    </row>
    <row r="399" ht="15.75" customHeight="1">
      <c r="B399" s="41"/>
    </row>
    <row r="400" ht="15.75" customHeight="1">
      <c r="B400" s="41"/>
    </row>
    <row r="401" ht="15.75" customHeight="1">
      <c r="B401" s="41"/>
    </row>
    <row r="402" ht="15.75" customHeight="1">
      <c r="B402" s="41"/>
    </row>
    <row r="403" ht="15.75" customHeight="1">
      <c r="B403" s="41"/>
    </row>
    <row r="404" ht="15.75" customHeight="1">
      <c r="B404" s="41"/>
    </row>
    <row r="405" ht="15.75" customHeight="1">
      <c r="B405" s="41"/>
    </row>
    <row r="406" ht="15.75" customHeight="1">
      <c r="B406" s="41"/>
    </row>
    <row r="407" ht="15.75" customHeight="1">
      <c r="B407" s="41"/>
    </row>
    <row r="408" ht="15.75" customHeight="1">
      <c r="B408" s="41"/>
    </row>
    <row r="409" ht="15.75" customHeight="1">
      <c r="B409" s="41"/>
    </row>
    <row r="410" ht="15.75" customHeight="1">
      <c r="B410" s="41"/>
    </row>
    <row r="411" ht="15.75" customHeight="1">
      <c r="B411" s="41"/>
    </row>
    <row r="412" ht="15.75" customHeight="1">
      <c r="B412" s="41"/>
    </row>
    <row r="413" ht="15.75" customHeight="1">
      <c r="B413" s="41"/>
    </row>
    <row r="414" ht="15.75" customHeight="1">
      <c r="B414" s="41"/>
    </row>
    <row r="415" ht="15.75" customHeight="1">
      <c r="B415" s="41"/>
    </row>
    <row r="416" ht="15.75" customHeight="1">
      <c r="B416" s="41"/>
    </row>
    <row r="417" ht="15.75" customHeight="1">
      <c r="B417" s="41"/>
    </row>
    <row r="418" ht="15.75" customHeight="1">
      <c r="B418" s="41"/>
    </row>
    <row r="419" ht="15.75" customHeight="1">
      <c r="B419" s="41"/>
    </row>
    <row r="420" ht="15.75" customHeight="1">
      <c r="B420" s="41"/>
    </row>
    <row r="421" ht="15.75" customHeight="1">
      <c r="B421" s="41"/>
    </row>
    <row r="422" ht="15.75" customHeight="1">
      <c r="B422" s="41"/>
    </row>
    <row r="423" ht="15.75" customHeight="1">
      <c r="B423" s="41"/>
    </row>
    <row r="424" ht="15.75" customHeight="1">
      <c r="B424" s="41"/>
    </row>
    <row r="425" ht="15.75" customHeight="1">
      <c r="B425" s="41"/>
    </row>
    <row r="426" ht="15.75" customHeight="1">
      <c r="B426" s="41"/>
    </row>
    <row r="427" ht="15.75" customHeight="1">
      <c r="B427" s="41"/>
    </row>
    <row r="428" ht="15.75" customHeight="1">
      <c r="B428" s="41"/>
    </row>
    <row r="429" ht="15.75" customHeight="1">
      <c r="B429" s="41"/>
    </row>
    <row r="430" ht="15.75" customHeight="1">
      <c r="B430" s="41"/>
    </row>
    <row r="431" ht="15.75" customHeight="1">
      <c r="B431" s="41"/>
    </row>
    <row r="432" ht="15.75" customHeight="1">
      <c r="B432" s="41"/>
    </row>
    <row r="433" ht="15.75" customHeight="1">
      <c r="B433" s="41"/>
    </row>
    <row r="434" ht="15.75" customHeight="1">
      <c r="B434" s="41"/>
    </row>
    <row r="435" ht="15.75" customHeight="1">
      <c r="B435" s="41"/>
    </row>
    <row r="436" ht="15.75" customHeight="1">
      <c r="B436" s="41"/>
    </row>
    <row r="437" ht="15.75" customHeight="1">
      <c r="B437" s="41"/>
    </row>
    <row r="438" ht="15.75" customHeight="1">
      <c r="B438" s="41"/>
    </row>
    <row r="439" ht="15.75" customHeight="1">
      <c r="B439" s="41"/>
    </row>
    <row r="440" ht="15.75" customHeight="1">
      <c r="B440" s="41"/>
    </row>
    <row r="441" ht="15.75" customHeight="1">
      <c r="B441" s="41"/>
    </row>
    <row r="442" ht="15.75" customHeight="1">
      <c r="B442" s="41"/>
    </row>
    <row r="443" ht="15.75" customHeight="1">
      <c r="B443" s="41"/>
    </row>
    <row r="444" ht="15.75" customHeight="1">
      <c r="B444" s="41"/>
    </row>
    <row r="445" ht="15.75" customHeight="1">
      <c r="B445" s="41"/>
    </row>
    <row r="446" ht="15.75" customHeight="1">
      <c r="B446" s="41"/>
    </row>
    <row r="447" ht="15.75" customHeight="1">
      <c r="B447" s="41"/>
    </row>
    <row r="448" ht="15.75" customHeight="1">
      <c r="B448" s="41"/>
    </row>
    <row r="449" ht="15.75" customHeight="1">
      <c r="B449" s="41"/>
    </row>
    <row r="450" ht="15.75" customHeight="1">
      <c r="B450" s="41"/>
    </row>
    <row r="451" ht="15.75" customHeight="1">
      <c r="B451" s="41"/>
    </row>
    <row r="452" ht="15.75" customHeight="1">
      <c r="B452" s="41"/>
    </row>
    <row r="453" ht="15.75" customHeight="1">
      <c r="B453" s="41"/>
    </row>
    <row r="454" ht="15.75" customHeight="1">
      <c r="B454" s="41"/>
    </row>
    <row r="455" ht="15.75" customHeight="1">
      <c r="B455" s="41"/>
    </row>
    <row r="456" ht="15.75" customHeight="1">
      <c r="B456" s="41"/>
    </row>
    <row r="457" ht="15.75" customHeight="1">
      <c r="B457" s="41"/>
    </row>
    <row r="458" ht="15.75" customHeight="1">
      <c r="B458" s="41"/>
    </row>
    <row r="459" ht="15.75" customHeight="1">
      <c r="B459" s="41"/>
    </row>
    <row r="460" ht="15.75" customHeight="1">
      <c r="B460" s="41"/>
    </row>
    <row r="461" ht="15.75" customHeight="1">
      <c r="B461" s="41"/>
    </row>
    <row r="462" ht="15.75" customHeight="1">
      <c r="B462" s="41"/>
    </row>
    <row r="463" ht="15.75" customHeight="1">
      <c r="B463" s="41"/>
    </row>
    <row r="464" ht="15.75" customHeight="1">
      <c r="B464" s="41"/>
    </row>
    <row r="465" ht="15.75" customHeight="1">
      <c r="B465" s="41"/>
    </row>
    <row r="466" ht="15.75" customHeight="1">
      <c r="B466" s="41"/>
    </row>
    <row r="467" ht="15.75" customHeight="1">
      <c r="B467" s="41"/>
    </row>
    <row r="468" ht="15.75" customHeight="1">
      <c r="B468" s="41"/>
    </row>
    <row r="469" ht="15.75" customHeight="1">
      <c r="B469" s="41"/>
    </row>
    <row r="470" ht="15.75" customHeight="1">
      <c r="B470" s="41"/>
    </row>
    <row r="471" ht="15.75" customHeight="1">
      <c r="B471" s="41"/>
    </row>
    <row r="472" ht="15.75" customHeight="1">
      <c r="B472" s="41"/>
    </row>
    <row r="473" ht="15.75" customHeight="1">
      <c r="B473" s="41"/>
    </row>
    <row r="474" ht="15.75" customHeight="1">
      <c r="B474" s="41"/>
    </row>
    <row r="475" ht="15.75" customHeight="1">
      <c r="B475" s="41"/>
    </row>
    <row r="476" ht="15.75" customHeight="1">
      <c r="B476" s="41"/>
    </row>
    <row r="477" ht="15.75" customHeight="1">
      <c r="B477" s="41"/>
    </row>
    <row r="478" ht="15.75" customHeight="1">
      <c r="B478" s="41"/>
    </row>
    <row r="479" ht="15.75" customHeight="1">
      <c r="B479" s="41"/>
    </row>
    <row r="480" ht="15.75" customHeight="1">
      <c r="B480" s="41"/>
    </row>
    <row r="481" ht="15.75" customHeight="1">
      <c r="B481" s="41"/>
    </row>
    <row r="482" ht="15.75" customHeight="1">
      <c r="B482" s="41"/>
    </row>
    <row r="483" ht="15.75" customHeight="1">
      <c r="B483" s="41"/>
    </row>
    <row r="484" ht="15.75" customHeight="1">
      <c r="B484" s="41"/>
    </row>
    <row r="485" ht="15.75" customHeight="1">
      <c r="B485" s="41"/>
    </row>
    <row r="486" ht="15.75" customHeight="1">
      <c r="B486" s="41"/>
    </row>
    <row r="487" ht="15.75" customHeight="1">
      <c r="B487" s="41"/>
    </row>
    <row r="488" ht="15.75" customHeight="1">
      <c r="B488" s="41"/>
    </row>
    <row r="489" ht="15.75" customHeight="1">
      <c r="B489" s="41"/>
    </row>
    <row r="490" ht="15.75" customHeight="1">
      <c r="B490" s="41"/>
    </row>
    <row r="491" ht="15.75" customHeight="1">
      <c r="B491" s="41"/>
    </row>
    <row r="492" ht="15.75" customHeight="1">
      <c r="B492" s="41"/>
    </row>
    <row r="493" ht="15.75" customHeight="1">
      <c r="B493" s="41"/>
    </row>
    <row r="494" ht="15.75" customHeight="1">
      <c r="B494" s="41"/>
    </row>
    <row r="495" ht="15.75" customHeight="1">
      <c r="B495" s="41"/>
    </row>
    <row r="496" ht="15.75" customHeight="1">
      <c r="B496" s="41"/>
    </row>
    <row r="497" ht="15.75" customHeight="1">
      <c r="B497" s="41"/>
    </row>
    <row r="498" ht="15.75" customHeight="1">
      <c r="B498" s="41"/>
    </row>
    <row r="499" ht="15.75" customHeight="1">
      <c r="B499" s="41"/>
    </row>
    <row r="500" ht="15.75" customHeight="1">
      <c r="B500" s="41"/>
    </row>
    <row r="501" ht="15.75" customHeight="1">
      <c r="B501" s="41"/>
    </row>
    <row r="502" ht="15.75" customHeight="1">
      <c r="B502" s="41"/>
    </row>
    <row r="503" ht="15.75" customHeight="1">
      <c r="B503" s="41"/>
    </row>
    <row r="504" ht="15.75" customHeight="1">
      <c r="B504" s="41"/>
    </row>
    <row r="505" ht="15.75" customHeight="1">
      <c r="B505" s="41"/>
    </row>
    <row r="506" ht="15.75" customHeight="1">
      <c r="B506" s="41"/>
    </row>
    <row r="507" ht="15.75" customHeight="1">
      <c r="B507" s="41"/>
    </row>
    <row r="508" ht="15.75" customHeight="1">
      <c r="B508" s="41"/>
    </row>
    <row r="509" ht="15.75" customHeight="1">
      <c r="B509" s="41"/>
    </row>
    <row r="510" ht="15.75" customHeight="1">
      <c r="B510" s="41"/>
    </row>
    <row r="511" ht="15.75" customHeight="1">
      <c r="B511" s="41"/>
    </row>
    <row r="512" ht="15.75" customHeight="1">
      <c r="B512" s="41"/>
    </row>
    <row r="513" ht="15.75" customHeight="1">
      <c r="B513" s="41"/>
    </row>
    <row r="514" ht="15.75" customHeight="1">
      <c r="B514" s="41"/>
    </row>
    <row r="515" ht="15.75" customHeight="1">
      <c r="B515" s="41"/>
    </row>
    <row r="516" ht="15.75" customHeight="1">
      <c r="B516" s="41"/>
    </row>
    <row r="517" ht="15.75" customHeight="1">
      <c r="B517" s="41"/>
    </row>
    <row r="518" ht="15.75" customHeight="1">
      <c r="B518" s="41"/>
    </row>
    <row r="519" ht="15.75" customHeight="1">
      <c r="B519" s="41"/>
    </row>
    <row r="520" ht="15.75" customHeight="1">
      <c r="B520" s="41"/>
    </row>
    <row r="521" ht="15.75" customHeight="1">
      <c r="B521" s="41"/>
    </row>
    <row r="522" ht="15.75" customHeight="1">
      <c r="B522" s="41"/>
    </row>
    <row r="523" ht="15.75" customHeight="1">
      <c r="B523" s="41"/>
    </row>
    <row r="524" ht="15.75" customHeight="1">
      <c r="B524" s="41"/>
    </row>
    <row r="525" ht="15.75" customHeight="1">
      <c r="B525" s="41"/>
    </row>
    <row r="526" ht="15.75" customHeight="1">
      <c r="B526" s="41"/>
    </row>
    <row r="527" ht="15.75" customHeight="1">
      <c r="B527" s="41"/>
    </row>
    <row r="528" ht="15.75" customHeight="1">
      <c r="B528" s="41"/>
    </row>
    <row r="529" ht="15.75" customHeight="1">
      <c r="B529" s="41"/>
    </row>
    <row r="530" ht="15.75" customHeight="1">
      <c r="B530" s="41"/>
    </row>
    <row r="531" ht="15.75" customHeight="1">
      <c r="B531" s="41"/>
    </row>
    <row r="532" ht="15.75" customHeight="1">
      <c r="B532" s="41"/>
    </row>
    <row r="533" ht="15.75" customHeight="1">
      <c r="B533" s="41"/>
    </row>
    <row r="534" ht="15.75" customHeight="1">
      <c r="B534" s="41"/>
    </row>
    <row r="535" ht="15.75" customHeight="1">
      <c r="B535" s="41"/>
    </row>
    <row r="536" ht="15.75" customHeight="1">
      <c r="B536" s="41"/>
    </row>
    <row r="537" ht="15.75" customHeight="1">
      <c r="B537" s="41"/>
    </row>
    <row r="538" ht="15.75" customHeight="1">
      <c r="B538" s="41"/>
    </row>
    <row r="539" ht="15.75" customHeight="1">
      <c r="B539" s="41"/>
    </row>
    <row r="540" ht="15.75" customHeight="1">
      <c r="B540" s="41"/>
    </row>
    <row r="541" ht="15.75" customHeight="1">
      <c r="B541" s="41"/>
    </row>
    <row r="542" ht="15.75" customHeight="1">
      <c r="B542" s="41"/>
    </row>
    <row r="543" ht="15.75" customHeight="1">
      <c r="B543" s="41"/>
    </row>
    <row r="544" ht="15.75" customHeight="1">
      <c r="B544" s="41"/>
    </row>
    <row r="545" ht="15.75" customHeight="1">
      <c r="B545" s="41"/>
    </row>
    <row r="546" ht="15.75" customHeight="1">
      <c r="B546" s="41"/>
    </row>
    <row r="547" ht="15.75" customHeight="1">
      <c r="B547" s="41"/>
    </row>
    <row r="548" ht="15.75" customHeight="1">
      <c r="B548" s="41"/>
    </row>
    <row r="549" ht="15.75" customHeight="1">
      <c r="B549" s="41"/>
    </row>
    <row r="550" ht="15.75" customHeight="1">
      <c r="B550" s="41"/>
    </row>
    <row r="551" ht="15.75" customHeight="1">
      <c r="B551" s="41"/>
    </row>
    <row r="552" ht="15.75" customHeight="1">
      <c r="B552" s="41"/>
    </row>
    <row r="553" ht="15.75" customHeight="1">
      <c r="B553" s="41"/>
    </row>
    <row r="554" ht="15.75" customHeight="1">
      <c r="B554" s="41"/>
    </row>
    <row r="555" ht="15.75" customHeight="1">
      <c r="B555" s="41"/>
    </row>
    <row r="556" ht="15.75" customHeight="1">
      <c r="B556" s="41"/>
    </row>
    <row r="557" ht="15.75" customHeight="1">
      <c r="B557" s="41"/>
    </row>
    <row r="558" ht="15.75" customHeight="1">
      <c r="B558" s="41"/>
    </row>
    <row r="559" ht="15.75" customHeight="1">
      <c r="B559" s="41"/>
    </row>
    <row r="560" ht="15.75" customHeight="1">
      <c r="B560" s="41"/>
    </row>
    <row r="561" ht="15.75" customHeight="1">
      <c r="B561" s="41"/>
    </row>
    <row r="562" ht="15.75" customHeight="1">
      <c r="B562" s="41"/>
    </row>
    <row r="563" ht="15.75" customHeight="1">
      <c r="B563" s="41"/>
    </row>
    <row r="564" ht="15.75" customHeight="1">
      <c r="B564" s="41"/>
    </row>
    <row r="565" ht="15.75" customHeight="1">
      <c r="B565" s="41"/>
    </row>
    <row r="566" ht="15.75" customHeight="1">
      <c r="B566" s="41"/>
    </row>
    <row r="567" ht="15.75" customHeight="1">
      <c r="B567" s="41"/>
    </row>
    <row r="568" ht="15.75" customHeight="1">
      <c r="B568" s="41"/>
    </row>
    <row r="569" ht="15.75" customHeight="1">
      <c r="B569" s="41"/>
    </row>
    <row r="570" ht="15.75" customHeight="1">
      <c r="B570" s="41"/>
    </row>
    <row r="571" ht="15.75" customHeight="1">
      <c r="B571" s="41"/>
    </row>
    <row r="572" ht="15.75" customHeight="1">
      <c r="B572" s="41"/>
    </row>
    <row r="573" ht="15.75" customHeight="1">
      <c r="B573" s="41"/>
    </row>
    <row r="574" ht="15.75" customHeight="1">
      <c r="B574" s="41"/>
    </row>
    <row r="575" ht="15.75" customHeight="1">
      <c r="B575" s="41"/>
    </row>
    <row r="576" ht="15.75" customHeight="1">
      <c r="B576" s="41"/>
    </row>
    <row r="577" ht="15.75" customHeight="1">
      <c r="B577" s="41"/>
    </row>
    <row r="578" ht="15.75" customHeight="1">
      <c r="B578" s="41"/>
    </row>
    <row r="579" ht="15.75" customHeight="1">
      <c r="B579" s="41"/>
    </row>
    <row r="580" ht="15.75" customHeight="1">
      <c r="B580" s="41"/>
    </row>
    <row r="581" ht="15.75" customHeight="1">
      <c r="B581" s="41"/>
    </row>
    <row r="582" ht="15.75" customHeight="1">
      <c r="B582" s="41"/>
    </row>
    <row r="583" ht="15.75" customHeight="1">
      <c r="B583" s="41"/>
    </row>
    <row r="584" ht="15.75" customHeight="1">
      <c r="B584" s="41"/>
    </row>
    <row r="585" ht="15.75" customHeight="1">
      <c r="B585" s="41"/>
    </row>
    <row r="586" ht="15.75" customHeight="1">
      <c r="B586" s="41"/>
    </row>
    <row r="587" ht="15.75" customHeight="1">
      <c r="B587" s="41"/>
    </row>
    <row r="588" ht="15.75" customHeight="1">
      <c r="B588" s="41"/>
    </row>
    <row r="589" ht="15.75" customHeight="1">
      <c r="B589" s="41"/>
    </row>
    <row r="590" ht="15.75" customHeight="1">
      <c r="B590" s="41"/>
    </row>
    <row r="591" ht="15.75" customHeight="1">
      <c r="B591" s="41"/>
    </row>
    <row r="592" ht="15.75" customHeight="1">
      <c r="B592" s="41"/>
    </row>
    <row r="593" ht="15.75" customHeight="1">
      <c r="B593" s="41"/>
    </row>
    <row r="594" ht="15.75" customHeight="1">
      <c r="B594" s="41"/>
    </row>
    <row r="595" ht="15.75" customHeight="1">
      <c r="B595" s="41"/>
    </row>
    <row r="596" ht="15.75" customHeight="1">
      <c r="B596" s="41"/>
    </row>
    <row r="597" ht="15.75" customHeight="1">
      <c r="B597" s="41"/>
    </row>
    <row r="598" ht="15.75" customHeight="1">
      <c r="B598" s="41"/>
    </row>
    <row r="599" ht="15.75" customHeight="1">
      <c r="B599" s="41"/>
    </row>
    <row r="600" ht="15.75" customHeight="1">
      <c r="B600" s="41"/>
    </row>
    <row r="601" ht="15.75" customHeight="1">
      <c r="B601" s="41"/>
    </row>
    <row r="602" ht="15.75" customHeight="1">
      <c r="B602" s="41"/>
    </row>
    <row r="603" ht="15.75" customHeight="1">
      <c r="B603" s="41"/>
    </row>
    <row r="604" ht="15.75" customHeight="1">
      <c r="B604" s="41"/>
    </row>
    <row r="605" ht="15.75" customHeight="1">
      <c r="B605" s="41"/>
    </row>
    <row r="606" ht="15.75" customHeight="1">
      <c r="B606" s="41"/>
    </row>
    <row r="607" ht="15.75" customHeight="1">
      <c r="B607" s="41"/>
    </row>
    <row r="608" ht="15.75" customHeight="1">
      <c r="B608" s="41"/>
    </row>
    <row r="609" ht="15.75" customHeight="1">
      <c r="B609" s="41"/>
    </row>
    <row r="610" ht="15.75" customHeight="1">
      <c r="B610" s="41"/>
    </row>
    <row r="611" ht="15.75" customHeight="1">
      <c r="B611" s="41"/>
    </row>
    <row r="612" ht="15.75" customHeight="1">
      <c r="B612" s="41"/>
    </row>
    <row r="613" ht="15.75" customHeight="1">
      <c r="B613" s="41"/>
    </row>
    <row r="614" ht="15.75" customHeight="1">
      <c r="B614" s="41"/>
    </row>
    <row r="615" ht="15.75" customHeight="1">
      <c r="B615" s="41"/>
    </row>
    <row r="616" ht="15.75" customHeight="1">
      <c r="B616" s="41"/>
    </row>
    <row r="617" ht="15.75" customHeight="1">
      <c r="B617" s="41"/>
    </row>
    <row r="618" ht="15.75" customHeight="1">
      <c r="B618" s="41"/>
    </row>
    <row r="619" ht="15.75" customHeight="1">
      <c r="B619" s="41"/>
    </row>
    <row r="620" ht="15.75" customHeight="1">
      <c r="B620" s="41"/>
    </row>
    <row r="621" ht="15.75" customHeight="1">
      <c r="B621" s="41"/>
    </row>
    <row r="622" ht="15.75" customHeight="1">
      <c r="B622" s="41"/>
    </row>
    <row r="623" ht="15.75" customHeight="1">
      <c r="B623" s="41"/>
    </row>
    <row r="624" ht="15.75" customHeight="1">
      <c r="B624" s="41"/>
    </row>
    <row r="625" ht="15.75" customHeight="1">
      <c r="B625" s="41"/>
    </row>
    <row r="626" ht="15.75" customHeight="1">
      <c r="B626" s="41"/>
    </row>
    <row r="627" ht="15.75" customHeight="1">
      <c r="B627" s="41"/>
    </row>
    <row r="628" ht="15.75" customHeight="1">
      <c r="B628" s="41"/>
    </row>
    <row r="629" ht="15.75" customHeight="1">
      <c r="B629" s="41"/>
    </row>
    <row r="630" ht="15.75" customHeight="1">
      <c r="B630" s="41"/>
    </row>
    <row r="631" ht="15.75" customHeight="1">
      <c r="B631" s="41"/>
    </row>
    <row r="632" ht="15.75" customHeight="1">
      <c r="B632" s="41"/>
    </row>
    <row r="633" ht="15.75" customHeight="1">
      <c r="B633" s="41"/>
    </row>
    <row r="634" ht="15.75" customHeight="1">
      <c r="B634" s="41"/>
    </row>
    <row r="635" ht="15.75" customHeight="1">
      <c r="B635" s="41"/>
    </row>
    <row r="636" ht="15.75" customHeight="1">
      <c r="B636" s="41"/>
    </row>
    <row r="637" ht="15.75" customHeight="1">
      <c r="B637" s="41"/>
    </row>
    <row r="638" ht="15.75" customHeight="1">
      <c r="B638" s="41"/>
    </row>
    <row r="639" ht="15.75" customHeight="1">
      <c r="B639" s="41"/>
    </row>
    <row r="640" ht="15.75" customHeight="1">
      <c r="B640" s="41"/>
    </row>
    <row r="641" ht="15.75" customHeight="1">
      <c r="B641" s="41"/>
    </row>
    <row r="642" ht="15.75" customHeight="1">
      <c r="B642" s="41"/>
    </row>
    <row r="643" ht="15.75" customHeight="1">
      <c r="B643" s="41"/>
    </row>
    <row r="644" ht="15.75" customHeight="1">
      <c r="B644" s="41"/>
    </row>
    <row r="645" ht="15.75" customHeight="1">
      <c r="B645" s="41"/>
    </row>
    <row r="646" ht="15.75" customHeight="1">
      <c r="B646" s="41"/>
    </row>
    <row r="647" ht="15.75" customHeight="1">
      <c r="B647" s="41"/>
    </row>
    <row r="648" ht="15.75" customHeight="1">
      <c r="B648" s="41"/>
    </row>
    <row r="649" ht="15.75" customHeight="1">
      <c r="B649" s="41"/>
    </row>
    <row r="650" ht="15.75" customHeight="1">
      <c r="B650" s="41"/>
    </row>
    <row r="651" ht="15.75" customHeight="1">
      <c r="B651" s="41"/>
    </row>
    <row r="652" ht="15.75" customHeight="1">
      <c r="B652" s="41"/>
    </row>
    <row r="653" ht="15.75" customHeight="1">
      <c r="B653" s="41"/>
    </row>
    <row r="654" ht="15.75" customHeight="1">
      <c r="B654" s="41"/>
    </row>
    <row r="655" ht="15.75" customHeight="1">
      <c r="B655" s="41"/>
    </row>
    <row r="656" ht="15.75" customHeight="1">
      <c r="B656" s="41"/>
    </row>
    <row r="657" ht="15.75" customHeight="1">
      <c r="B657" s="41"/>
    </row>
    <row r="658" ht="15.75" customHeight="1">
      <c r="B658" s="41"/>
    </row>
    <row r="659" ht="15.75" customHeight="1">
      <c r="B659" s="41"/>
    </row>
    <row r="660" ht="15.75" customHeight="1">
      <c r="B660" s="41"/>
    </row>
    <row r="661" ht="15.75" customHeight="1">
      <c r="B661" s="41"/>
    </row>
    <row r="662" ht="15.75" customHeight="1">
      <c r="B662" s="41"/>
    </row>
    <row r="663" ht="15.75" customHeight="1">
      <c r="B663" s="41"/>
    </row>
    <row r="664" ht="15.75" customHeight="1">
      <c r="B664" s="41"/>
    </row>
    <row r="665" ht="15.75" customHeight="1">
      <c r="B665" s="41"/>
    </row>
    <row r="666" ht="15.75" customHeight="1">
      <c r="B666" s="41"/>
    </row>
    <row r="667" ht="15.75" customHeight="1">
      <c r="B667" s="41"/>
    </row>
    <row r="668" ht="15.75" customHeight="1">
      <c r="B668" s="41"/>
    </row>
    <row r="669" ht="15.75" customHeight="1">
      <c r="B669" s="41"/>
    </row>
    <row r="670" ht="15.75" customHeight="1">
      <c r="B670" s="41"/>
    </row>
    <row r="671" ht="15.75" customHeight="1">
      <c r="B671" s="41"/>
    </row>
    <row r="672" ht="15.75" customHeight="1">
      <c r="B672" s="41"/>
    </row>
    <row r="673" ht="15.75" customHeight="1">
      <c r="B673" s="41"/>
    </row>
    <row r="674" ht="15.75" customHeight="1">
      <c r="B674" s="41"/>
    </row>
    <row r="675" ht="15.75" customHeight="1">
      <c r="B675" s="41"/>
    </row>
    <row r="676" ht="15.75" customHeight="1">
      <c r="B676" s="41"/>
    </row>
    <row r="677" ht="15.75" customHeight="1">
      <c r="B677" s="41"/>
    </row>
    <row r="678" ht="15.75" customHeight="1">
      <c r="B678" s="41"/>
    </row>
    <row r="679" ht="15.75" customHeight="1">
      <c r="B679" s="41"/>
    </row>
    <row r="680" ht="15.75" customHeight="1">
      <c r="B680" s="41"/>
    </row>
    <row r="681" ht="15.75" customHeight="1">
      <c r="B681" s="41"/>
    </row>
    <row r="682" ht="15.75" customHeight="1">
      <c r="B682" s="41"/>
    </row>
    <row r="683" ht="15.75" customHeight="1">
      <c r="B683" s="41"/>
    </row>
    <row r="684" ht="15.75" customHeight="1">
      <c r="B684" s="41"/>
    </row>
    <row r="685" ht="15.75" customHeight="1">
      <c r="B685" s="41"/>
    </row>
    <row r="686" ht="15.75" customHeight="1">
      <c r="B686" s="41"/>
    </row>
    <row r="687" ht="15.75" customHeight="1">
      <c r="B687" s="41"/>
    </row>
    <row r="688" ht="15.75" customHeight="1">
      <c r="B688" s="41"/>
    </row>
    <row r="689" ht="15.75" customHeight="1">
      <c r="B689" s="41"/>
    </row>
    <row r="690" ht="15.75" customHeight="1">
      <c r="B690" s="41"/>
    </row>
    <row r="691" ht="15.75" customHeight="1">
      <c r="B691" s="41"/>
    </row>
    <row r="692" ht="15.75" customHeight="1">
      <c r="B692" s="41"/>
    </row>
    <row r="693" ht="15.75" customHeight="1">
      <c r="B693" s="41"/>
    </row>
    <row r="694" ht="15.75" customHeight="1">
      <c r="B694" s="41"/>
    </row>
    <row r="695" ht="15.75" customHeight="1">
      <c r="B695" s="41"/>
    </row>
    <row r="696" ht="15.75" customHeight="1">
      <c r="B696" s="41"/>
    </row>
    <row r="697" ht="15.75" customHeight="1">
      <c r="B697" s="41"/>
    </row>
    <row r="698" ht="15.75" customHeight="1">
      <c r="B698" s="41"/>
    </row>
    <row r="699" ht="15.75" customHeight="1">
      <c r="B699" s="41"/>
    </row>
    <row r="700" ht="15.75" customHeight="1">
      <c r="B700" s="41"/>
    </row>
    <row r="701" ht="15.75" customHeight="1">
      <c r="B701" s="41"/>
    </row>
    <row r="702" ht="15.75" customHeight="1">
      <c r="B702" s="41"/>
    </row>
    <row r="703" ht="15.75" customHeight="1">
      <c r="B703" s="41"/>
    </row>
    <row r="704" ht="15.75" customHeight="1">
      <c r="B704" s="41"/>
    </row>
    <row r="705" ht="15.75" customHeight="1">
      <c r="B705" s="41"/>
    </row>
    <row r="706" ht="15.75" customHeight="1">
      <c r="B706" s="41"/>
    </row>
    <row r="707" ht="15.75" customHeight="1">
      <c r="B707" s="41"/>
    </row>
    <row r="708" ht="15.75" customHeight="1">
      <c r="B708" s="41"/>
    </row>
    <row r="709" ht="15.75" customHeight="1">
      <c r="B709" s="41"/>
    </row>
    <row r="710" ht="15.75" customHeight="1">
      <c r="B710" s="41"/>
    </row>
    <row r="711" ht="15.75" customHeight="1">
      <c r="B711" s="41"/>
    </row>
    <row r="712" ht="15.75" customHeight="1">
      <c r="B712" s="41"/>
    </row>
    <row r="713" ht="15.75" customHeight="1">
      <c r="B713" s="41"/>
    </row>
    <row r="714" ht="15.75" customHeight="1">
      <c r="B714" s="41"/>
    </row>
    <row r="715" ht="15.75" customHeight="1">
      <c r="B715" s="41"/>
    </row>
    <row r="716" ht="15.75" customHeight="1">
      <c r="B716" s="41"/>
    </row>
    <row r="717" ht="15.75" customHeight="1">
      <c r="B717" s="41"/>
    </row>
    <row r="718" ht="15.75" customHeight="1">
      <c r="B718" s="41"/>
    </row>
    <row r="719" ht="15.75" customHeight="1">
      <c r="B719" s="41"/>
    </row>
    <row r="720" ht="15.75" customHeight="1">
      <c r="B720" s="41"/>
    </row>
    <row r="721" ht="15.75" customHeight="1">
      <c r="B721" s="41"/>
    </row>
    <row r="722" ht="15.75" customHeight="1">
      <c r="B722" s="41"/>
    </row>
    <row r="723" ht="15.75" customHeight="1">
      <c r="B723" s="41"/>
    </row>
    <row r="724" ht="15.75" customHeight="1">
      <c r="B724" s="41"/>
    </row>
    <row r="725" ht="15.75" customHeight="1">
      <c r="B725" s="41"/>
    </row>
    <row r="726" ht="15.75" customHeight="1">
      <c r="B726" s="41"/>
    </row>
    <row r="727" ht="15.75" customHeight="1">
      <c r="B727" s="41"/>
    </row>
    <row r="728" ht="15.75" customHeight="1">
      <c r="B728" s="41"/>
    </row>
    <row r="729" ht="15.75" customHeight="1">
      <c r="B729" s="41"/>
    </row>
    <row r="730" ht="15.75" customHeight="1">
      <c r="B730" s="41"/>
    </row>
    <row r="731" ht="15.75" customHeight="1">
      <c r="B731" s="41"/>
    </row>
    <row r="732" ht="15.75" customHeight="1">
      <c r="B732" s="41"/>
    </row>
    <row r="733" ht="15.75" customHeight="1">
      <c r="B733" s="41"/>
    </row>
    <row r="734" ht="15.75" customHeight="1">
      <c r="B734" s="41"/>
    </row>
    <row r="735" ht="15.75" customHeight="1">
      <c r="B735" s="41"/>
    </row>
    <row r="736" ht="15.75" customHeight="1">
      <c r="B736" s="41"/>
    </row>
    <row r="737" ht="15.75" customHeight="1">
      <c r="B737" s="41"/>
    </row>
    <row r="738" ht="15.75" customHeight="1">
      <c r="B738" s="41"/>
    </row>
    <row r="739" ht="15.75" customHeight="1">
      <c r="B739" s="41"/>
    </row>
    <row r="740" ht="15.75" customHeight="1">
      <c r="B740" s="41"/>
    </row>
    <row r="741" ht="15.75" customHeight="1">
      <c r="B741" s="41"/>
    </row>
    <row r="742" ht="15.75" customHeight="1">
      <c r="B742" s="41"/>
    </row>
    <row r="743" ht="15.75" customHeight="1">
      <c r="B743" s="41"/>
    </row>
    <row r="744" ht="15.75" customHeight="1">
      <c r="B744" s="41"/>
    </row>
    <row r="745" ht="15.75" customHeight="1">
      <c r="B745" s="41"/>
    </row>
    <row r="746" ht="15.75" customHeight="1">
      <c r="B746" s="41"/>
    </row>
    <row r="747" ht="15.75" customHeight="1">
      <c r="B747" s="41"/>
    </row>
    <row r="748" ht="15.75" customHeight="1">
      <c r="B748" s="41"/>
    </row>
    <row r="749" ht="15.75" customHeight="1">
      <c r="B749" s="41"/>
    </row>
    <row r="750" ht="15.75" customHeight="1">
      <c r="B750" s="41"/>
    </row>
    <row r="751" ht="15.75" customHeight="1">
      <c r="B751" s="41"/>
    </row>
    <row r="752" ht="15.75" customHeight="1">
      <c r="B752" s="41"/>
    </row>
    <row r="753" ht="15.75" customHeight="1">
      <c r="B753" s="41"/>
    </row>
    <row r="754" ht="15.75" customHeight="1">
      <c r="B754" s="41"/>
    </row>
    <row r="755" ht="15.75" customHeight="1">
      <c r="B755" s="41"/>
    </row>
    <row r="756" ht="15.75" customHeight="1">
      <c r="B756" s="41"/>
    </row>
    <row r="757" ht="15.75" customHeight="1">
      <c r="B757" s="41"/>
    </row>
    <row r="758" ht="15.75" customHeight="1">
      <c r="B758" s="41"/>
    </row>
    <row r="759" ht="15.75" customHeight="1">
      <c r="B759" s="41"/>
    </row>
    <row r="760" ht="15.75" customHeight="1">
      <c r="B760" s="41"/>
    </row>
    <row r="761" ht="15.75" customHeight="1">
      <c r="B761" s="41"/>
    </row>
    <row r="762" ht="15.75" customHeight="1">
      <c r="B762" s="41"/>
    </row>
    <row r="763" ht="15.75" customHeight="1">
      <c r="B763" s="41"/>
    </row>
    <row r="764" ht="15.75" customHeight="1">
      <c r="B764" s="41"/>
    </row>
    <row r="765" ht="15.75" customHeight="1">
      <c r="B765" s="41"/>
    </row>
    <row r="766" ht="15.75" customHeight="1">
      <c r="B766" s="41"/>
    </row>
    <row r="767" ht="15.75" customHeight="1">
      <c r="B767" s="41"/>
    </row>
    <row r="768" ht="15.75" customHeight="1">
      <c r="B768" s="41"/>
    </row>
    <row r="769" ht="15.75" customHeight="1">
      <c r="B769" s="41"/>
    </row>
    <row r="770" ht="15.75" customHeight="1">
      <c r="B770" s="41"/>
    </row>
    <row r="771" ht="15.75" customHeight="1">
      <c r="B771" s="41"/>
    </row>
    <row r="772" ht="15.75" customHeight="1">
      <c r="B772" s="41"/>
    </row>
    <row r="773" ht="15.75" customHeight="1">
      <c r="B773" s="41"/>
    </row>
    <row r="774" ht="15.75" customHeight="1">
      <c r="B774" s="41"/>
    </row>
    <row r="775" ht="15.75" customHeight="1">
      <c r="B775" s="41"/>
    </row>
    <row r="776" ht="15.75" customHeight="1">
      <c r="B776" s="41"/>
    </row>
    <row r="777" ht="15.75" customHeight="1">
      <c r="B777" s="41"/>
    </row>
    <row r="778" ht="15.75" customHeight="1">
      <c r="B778" s="41"/>
    </row>
    <row r="779" ht="15.75" customHeight="1">
      <c r="B779" s="41"/>
    </row>
    <row r="780" ht="15.75" customHeight="1">
      <c r="B780" s="41"/>
    </row>
    <row r="781" ht="15.75" customHeight="1">
      <c r="B781" s="41"/>
    </row>
    <row r="782" ht="15.75" customHeight="1">
      <c r="B782" s="41"/>
    </row>
    <row r="783" ht="15.75" customHeight="1">
      <c r="B783" s="41"/>
    </row>
    <row r="784" ht="15.75" customHeight="1">
      <c r="B784" s="41"/>
    </row>
    <row r="785" ht="15.75" customHeight="1">
      <c r="B785" s="41"/>
    </row>
    <row r="786" ht="15.75" customHeight="1">
      <c r="B786" s="41"/>
    </row>
    <row r="787" ht="15.75" customHeight="1">
      <c r="B787" s="41"/>
    </row>
    <row r="788" ht="15.75" customHeight="1">
      <c r="B788" s="41"/>
    </row>
    <row r="789" ht="15.75" customHeight="1">
      <c r="B789" s="41"/>
    </row>
    <row r="790" ht="15.75" customHeight="1">
      <c r="B790" s="41"/>
    </row>
    <row r="791" ht="15.75" customHeight="1">
      <c r="B791" s="41"/>
    </row>
    <row r="792" ht="15.75" customHeight="1">
      <c r="B792" s="41"/>
    </row>
    <row r="793" ht="15.75" customHeight="1">
      <c r="B793" s="41"/>
    </row>
    <row r="794" ht="15.75" customHeight="1">
      <c r="B794" s="41"/>
    </row>
    <row r="795" ht="15.75" customHeight="1">
      <c r="B795" s="41"/>
    </row>
    <row r="796" ht="15.75" customHeight="1">
      <c r="B796" s="41"/>
    </row>
    <row r="797" ht="15.75" customHeight="1">
      <c r="B797" s="41"/>
    </row>
    <row r="798" ht="15.75" customHeight="1">
      <c r="B798" s="41"/>
    </row>
    <row r="799" ht="15.75" customHeight="1">
      <c r="B799" s="41"/>
    </row>
    <row r="800" ht="15.75" customHeight="1">
      <c r="B800" s="41"/>
    </row>
    <row r="801" ht="15.75" customHeight="1">
      <c r="B801" s="41"/>
    </row>
    <row r="802" ht="15.75" customHeight="1">
      <c r="B802" s="41"/>
    </row>
    <row r="803" ht="15.75" customHeight="1">
      <c r="B803" s="41"/>
    </row>
    <row r="804" ht="15.75" customHeight="1">
      <c r="B804" s="41"/>
    </row>
    <row r="805" ht="15.75" customHeight="1">
      <c r="B805" s="41"/>
    </row>
    <row r="806" ht="15.75" customHeight="1">
      <c r="B806" s="41"/>
    </row>
    <row r="807" ht="15.75" customHeight="1">
      <c r="B807" s="41"/>
    </row>
    <row r="808" ht="15.75" customHeight="1">
      <c r="B808" s="41"/>
    </row>
    <row r="809" ht="15.75" customHeight="1">
      <c r="B809" s="41"/>
    </row>
    <row r="810" ht="15.75" customHeight="1">
      <c r="B810" s="41"/>
    </row>
    <row r="811" ht="15.75" customHeight="1">
      <c r="B811" s="41"/>
    </row>
    <row r="812" ht="15.75" customHeight="1">
      <c r="B812" s="41"/>
    </row>
    <row r="813" ht="15.75" customHeight="1">
      <c r="B813" s="41"/>
    </row>
    <row r="814" ht="15.75" customHeight="1">
      <c r="B814" s="41"/>
    </row>
    <row r="815" ht="15.75" customHeight="1">
      <c r="B815" s="41"/>
    </row>
    <row r="816" ht="15.75" customHeight="1">
      <c r="B816" s="41"/>
    </row>
    <row r="817" ht="15.75" customHeight="1">
      <c r="B817" s="41"/>
    </row>
    <row r="818" ht="15.75" customHeight="1">
      <c r="B818" s="41"/>
    </row>
    <row r="819" ht="15.75" customHeight="1">
      <c r="B819" s="41"/>
    </row>
    <row r="820" ht="15.75" customHeight="1">
      <c r="B820" s="41"/>
    </row>
    <row r="821" ht="15.75" customHeight="1">
      <c r="B821" s="41"/>
    </row>
    <row r="822" ht="15.75" customHeight="1">
      <c r="B822" s="41"/>
    </row>
    <row r="823" ht="15.75" customHeight="1">
      <c r="B823" s="41"/>
    </row>
    <row r="824" ht="15.75" customHeight="1">
      <c r="B824" s="41"/>
    </row>
    <row r="825" ht="15.75" customHeight="1">
      <c r="B825" s="41"/>
    </row>
    <row r="826" ht="15.75" customHeight="1">
      <c r="B826" s="41"/>
    </row>
    <row r="827" ht="15.75" customHeight="1">
      <c r="B827" s="41"/>
    </row>
    <row r="828" ht="15.75" customHeight="1">
      <c r="B828" s="41"/>
    </row>
    <row r="829" ht="15.75" customHeight="1">
      <c r="B829" s="41"/>
    </row>
    <row r="830" ht="15.75" customHeight="1">
      <c r="B830" s="41"/>
    </row>
    <row r="831" ht="15.75" customHeight="1">
      <c r="B831" s="41"/>
    </row>
    <row r="832" ht="15.75" customHeight="1">
      <c r="B832" s="41"/>
    </row>
    <row r="833" ht="15.75" customHeight="1">
      <c r="B833" s="41"/>
    </row>
    <row r="834" ht="15.75" customHeight="1">
      <c r="B834" s="41"/>
    </row>
    <row r="835" ht="15.75" customHeight="1">
      <c r="B835" s="41"/>
    </row>
    <row r="836" ht="15.75" customHeight="1">
      <c r="B836" s="41"/>
    </row>
    <row r="837" ht="15.75" customHeight="1">
      <c r="B837" s="41"/>
    </row>
    <row r="838" ht="15.75" customHeight="1">
      <c r="B838" s="41"/>
    </row>
    <row r="839" ht="15.75" customHeight="1">
      <c r="B839" s="41"/>
    </row>
    <row r="840" ht="15.75" customHeight="1">
      <c r="B840" s="41"/>
    </row>
    <row r="841" ht="15.75" customHeight="1">
      <c r="B841" s="41"/>
    </row>
    <row r="842" ht="15.75" customHeight="1">
      <c r="B842" s="41"/>
    </row>
    <row r="843" ht="15.75" customHeight="1">
      <c r="B843" s="41"/>
    </row>
    <row r="844" ht="15.75" customHeight="1">
      <c r="B844" s="41"/>
    </row>
    <row r="845" ht="15.75" customHeight="1">
      <c r="B845" s="41"/>
    </row>
    <row r="846" ht="15.75" customHeight="1">
      <c r="B846" s="41"/>
    </row>
    <row r="847" ht="15.75" customHeight="1">
      <c r="B847" s="41"/>
    </row>
    <row r="848" ht="15.75" customHeight="1">
      <c r="B848" s="41"/>
    </row>
    <row r="849" ht="15.75" customHeight="1">
      <c r="B849" s="41"/>
    </row>
    <row r="850" ht="15.75" customHeight="1">
      <c r="B850" s="41"/>
    </row>
    <row r="851" ht="15.75" customHeight="1">
      <c r="B851" s="41"/>
    </row>
    <row r="852" ht="15.75" customHeight="1">
      <c r="B852" s="41"/>
    </row>
    <row r="853" ht="15.75" customHeight="1">
      <c r="B853" s="41"/>
    </row>
    <row r="854" ht="15.75" customHeight="1">
      <c r="B854" s="41"/>
    </row>
    <row r="855" ht="15.75" customHeight="1">
      <c r="B855" s="41"/>
    </row>
    <row r="856" ht="15.75" customHeight="1">
      <c r="B856" s="41"/>
    </row>
    <row r="857" ht="15.75" customHeight="1">
      <c r="B857" s="41"/>
    </row>
    <row r="858" ht="15.75" customHeight="1">
      <c r="B858" s="41"/>
    </row>
    <row r="859" ht="15.75" customHeight="1">
      <c r="B859" s="41"/>
    </row>
    <row r="860" ht="15.75" customHeight="1">
      <c r="B860" s="41"/>
    </row>
    <row r="861" ht="15.75" customHeight="1">
      <c r="B861" s="41"/>
    </row>
    <row r="862" ht="15.75" customHeight="1">
      <c r="B862" s="41"/>
    </row>
    <row r="863" ht="15.75" customHeight="1">
      <c r="B863" s="41"/>
    </row>
    <row r="864" ht="15.75" customHeight="1">
      <c r="B864" s="41"/>
    </row>
    <row r="865" ht="15.75" customHeight="1">
      <c r="B865" s="41"/>
    </row>
    <row r="866" ht="15.75" customHeight="1">
      <c r="B866" s="41"/>
    </row>
    <row r="867" ht="15.75" customHeight="1">
      <c r="B867" s="41"/>
    </row>
    <row r="868" ht="15.75" customHeight="1">
      <c r="B868" s="41"/>
    </row>
    <row r="869" ht="15.75" customHeight="1">
      <c r="B869" s="41"/>
    </row>
    <row r="870" ht="15.75" customHeight="1">
      <c r="B870" s="41"/>
    </row>
    <row r="871" ht="15.75" customHeight="1">
      <c r="B871" s="41"/>
    </row>
    <row r="872" ht="15.75" customHeight="1">
      <c r="B872" s="41"/>
    </row>
    <row r="873" ht="15.75" customHeight="1">
      <c r="B873" s="41"/>
    </row>
    <row r="874" ht="15.75" customHeight="1">
      <c r="B874" s="41"/>
    </row>
    <row r="875" ht="15.75" customHeight="1">
      <c r="B875" s="41"/>
    </row>
    <row r="876" ht="15.75" customHeight="1">
      <c r="B876" s="41"/>
    </row>
    <row r="877" ht="15.75" customHeight="1">
      <c r="B877" s="41"/>
    </row>
    <row r="878" ht="15.75" customHeight="1">
      <c r="B878" s="41"/>
    </row>
    <row r="879" ht="15.75" customHeight="1">
      <c r="B879" s="41"/>
    </row>
    <row r="880" ht="15.75" customHeight="1">
      <c r="B880" s="41"/>
    </row>
    <row r="881" ht="15.75" customHeight="1">
      <c r="B881" s="41"/>
    </row>
    <row r="882" ht="15.75" customHeight="1">
      <c r="B882" s="41"/>
    </row>
    <row r="883" ht="15.75" customHeight="1">
      <c r="B883" s="41"/>
    </row>
    <row r="884" ht="15.75" customHeight="1">
      <c r="B884" s="41"/>
    </row>
    <row r="885" ht="15.75" customHeight="1">
      <c r="B885" s="41"/>
    </row>
    <row r="886" ht="15.75" customHeight="1">
      <c r="B886" s="41"/>
    </row>
    <row r="887" ht="15.75" customHeight="1">
      <c r="B887" s="41"/>
    </row>
    <row r="888" ht="15.75" customHeight="1">
      <c r="B888" s="41"/>
    </row>
    <row r="889" ht="15.75" customHeight="1">
      <c r="B889" s="41"/>
    </row>
    <row r="890" ht="15.75" customHeight="1">
      <c r="B890" s="41"/>
    </row>
    <row r="891" ht="15.75" customHeight="1">
      <c r="B891" s="41"/>
    </row>
    <row r="892" ht="15.75" customHeight="1">
      <c r="B892" s="41"/>
    </row>
    <row r="893" ht="15.75" customHeight="1">
      <c r="B893" s="41"/>
    </row>
    <row r="894" ht="15.75" customHeight="1">
      <c r="B894" s="41"/>
    </row>
    <row r="895" ht="15.75" customHeight="1">
      <c r="B895" s="41"/>
    </row>
    <row r="896" ht="15.75" customHeight="1">
      <c r="B896" s="41"/>
    </row>
    <row r="897" ht="15.75" customHeight="1">
      <c r="B897" s="41"/>
    </row>
    <row r="898" ht="15.75" customHeight="1">
      <c r="B898" s="41"/>
    </row>
    <row r="899" ht="15.75" customHeight="1">
      <c r="B899" s="41"/>
    </row>
    <row r="900" ht="15.75" customHeight="1">
      <c r="B900" s="41"/>
    </row>
    <row r="901" ht="15.75" customHeight="1">
      <c r="B901" s="41"/>
    </row>
    <row r="902" ht="15.75" customHeight="1">
      <c r="B902" s="41"/>
    </row>
    <row r="903" ht="15.75" customHeight="1">
      <c r="B903" s="41"/>
    </row>
    <row r="904" ht="15.75" customHeight="1">
      <c r="B904" s="41"/>
    </row>
    <row r="905" ht="15.75" customHeight="1">
      <c r="B905" s="41"/>
    </row>
    <row r="906" ht="15.75" customHeight="1">
      <c r="B906" s="41"/>
    </row>
    <row r="907" ht="15.75" customHeight="1">
      <c r="B907" s="41"/>
    </row>
    <row r="908" ht="15.75" customHeight="1">
      <c r="B908" s="41"/>
    </row>
    <row r="909" ht="15.75" customHeight="1">
      <c r="B909" s="41"/>
    </row>
    <row r="910" ht="15.75" customHeight="1">
      <c r="B910" s="41"/>
    </row>
    <row r="911" ht="15.75" customHeight="1">
      <c r="B911" s="41"/>
    </row>
    <row r="912" ht="15.75" customHeight="1">
      <c r="B912" s="41"/>
    </row>
    <row r="913" ht="15.75" customHeight="1">
      <c r="B913" s="41"/>
    </row>
    <row r="914" ht="15.75" customHeight="1">
      <c r="B914" s="41"/>
    </row>
    <row r="915" ht="15.75" customHeight="1">
      <c r="B915" s="41"/>
    </row>
    <row r="916" ht="15.75" customHeight="1">
      <c r="B916" s="41"/>
    </row>
    <row r="917" ht="15.75" customHeight="1">
      <c r="B917" s="41"/>
    </row>
    <row r="918" ht="15.75" customHeight="1">
      <c r="B918" s="41"/>
    </row>
    <row r="919" ht="15.75" customHeight="1">
      <c r="B919" s="41"/>
    </row>
    <row r="920" ht="15.75" customHeight="1">
      <c r="B920" s="41"/>
    </row>
    <row r="921" ht="15.75" customHeight="1">
      <c r="B921" s="41"/>
    </row>
    <row r="922" ht="15.75" customHeight="1">
      <c r="B922" s="41"/>
    </row>
    <row r="923" ht="15.75" customHeight="1">
      <c r="B923" s="41"/>
    </row>
    <row r="924" ht="15.75" customHeight="1">
      <c r="B924" s="41"/>
    </row>
    <row r="925" ht="15.75" customHeight="1">
      <c r="B925" s="41"/>
    </row>
    <row r="926" ht="15.75" customHeight="1">
      <c r="B926" s="41"/>
    </row>
    <row r="927" ht="15.75" customHeight="1">
      <c r="B927" s="41"/>
    </row>
    <row r="928" ht="15.75" customHeight="1">
      <c r="B928" s="41"/>
    </row>
    <row r="929" ht="15.75" customHeight="1">
      <c r="B929" s="41"/>
    </row>
    <row r="930" ht="15.75" customHeight="1">
      <c r="B930" s="41"/>
    </row>
    <row r="931" ht="15.75" customHeight="1">
      <c r="B931" s="41"/>
    </row>
    <row r="932" ht="15.75" customHeight="1">
      <c r="B932" s="41"/>
    </row>
    <row r="933" ht="15.75" customHeight="1">
      <c r="B933" s="41"/>
    </row>
    <row r="934" ht="15.75" customHeight="1">
      <c r="B934" s="41"/>
    </row>
    <row r="935" ht="15.75" customHeight="1">
      <c r="B935" s="41"/>
    </row>
    <row r="936" ht="15.75" customHeight="1">
      <c r="B936" s="41"/>
    </row>
    <row r="937" ht="15.75" customHeight="1">
      <c r="B937" s="41"/>
    </row>
    <row r="938" ht="15.75" customHeight="1">
      <c r="B938" s="41"/>
    </row>
    <row r="939" ht="15.75" customHeight="1">
      <c r="B939" s="41"/>
    </row>
    <row r="940" ht="15.75" customHeight="1">
      <c r="B940" s="41"/>
    </row>
    <row r="941" ht="15.75" customHeight="1">
      <c r="B941" s="41"/>
    </row>
    <row r="942" ht="15.75" customHeight="1">
      <c r="B942" s="41"/>
    </row>
    <row r="943" ht="15.75" customHeight="1">
      <c r="B943" s="41"/>
    </row>
    <row r="944" ht="15.75" customHeight="1">
      <c r="B944" s="41"/>
    </row>
    <row r="945" ht="15.75" customHeight="1">
      <c r="B945" s="41"/>
    </row>
    <row r="946" ht="15.75" customHeight="1">
      <c r="B946" s="41"/>
    </row>
    <row r="947" ht="15.75" customHeight="1">
      <c r="B947" s="41"/>
    </row>
    <row r="948" ht="15.75" customHeight="1">
      <c r="B948" s="41"/>
    </row>
    <row r="949" ht="15.75" customHeight="1">
      <c r="B949" s="41"/>
    </row>
    <row r="950" ht="15.75" customHeight="1">
      <c r="B950" s="41"/>
    </row>
    <row r="951" ht="15.75" customHeight="1">
      <c r="B951" s="41"/>
    </row>
    <row r="952" ht="15.75" customHeight="1">
      <c r="B952" s="41"/>
    </row>
    <row r="953" ht="15.75" customHeight="1">
      <c r="B953" s="41"/>
    </row>
    <row r="954" ht="15.75" customHeight="1">
      <c r="B954" s="41"/>
    </row>
    <row r="955" ht="15.75" customHeight="1">
      <c r="B955" s="41"/>
    </row>
    <row r="956" ht="15.75" customHeight="1">
      <c r="B956" s="41"/>
    </row>
    <row r="957" ht="15.75" customHeight="1">
      <c r="B957" s="41"/>
    </row>
    <row r="958" ht="15.75" customHeight="1">
      <c r="B958" s="41"/>
    </row>
    <row r="959" ht="15.75" customHeight="1">
      <c r="B959" s="41"/>
    </row>
    <row r="960" ht="15.75" customHeight="1">
      <c r="B960" s="41"/>
    </row>
    <row r="961" ht="15.75" customHeight="1">
      <c r="B961" s="41"/>
    </row>
    <row r="962" ht="15.75" customHeight="1">
      <c r="B962" s="41"/>
    </row>
    <row r="963" ht="15.75" customHeight="1">
      <c r="B963" s="41"/>
    </row>
    <row r="964" ht="15.75" customHeight="1">
      <c r="B964" s="41"/>
    </row>
    <row r="965" ht="15.75" customHeight="1">
      <c r="B965" s="41"/>
    </row>
    <row r="966" ht="15.75" customHeight="1">
      <c r="B966" s="41"/>
    </row>
    <row r="967" ht="15.75" customHeight="1">
      <c r="B967" s="41"/>
    </row>
    <row r="968" ht="15.75" customHeight="1">
      <c r="B968" s="41"/>
    </row>
    <row r="969" ht="15.75" customHeight="1">
      <c r="B969" s="41"/>
    </row>
    <row r="970" ht="15.75" customHeight="1">
      <c r="B970" s="41"/>
    </row>
    <row r="971" ht="15.75" customHeight="1">
      <c r="B971" s="41"/>
    </row>
    <row r="972" ht="15.75" customHeight="1">
      <c r="B972" s="41"/>
    </row>
    <row r="973" ht="15.75" customHeight="1">
      <c r="B973" s="41"/>
    </row>
    <row r="974" ht="15.75" customHeight="1">
      <c r="B974" s="41"/>
    </row>
    <row r="975" ht="15.75" customHeight="1">
      <c r="B975" s="41"/>
    </row>
    <row r="976" ht="15.75" customHeight="1">
      <c r="B976" s="41"/>
    </row>
    <row r="977" ht="15.75" customHeight="1">
      <c r="B977" s="41"/>
    </row>
    <row r="978" ht="15.75" customHeight="1">
      <c r="B978" s="41"/>
    </row>
    <row r="979" ht="15.75" customHeight="1">
      <c r="B979" s="41"/>
    </row>
    <row r="980" ht="15.75" customHeight="1">
      <c r="B980" s="41"/>
    </row>
    <row r="981" ht="15.75" customHeight="1">
      <c r="B981" s="41"/>
    </row>
    <row r="982" ht="15.75" customHeight="1">
      <c r="B982" s="41"/>
    </row>
    <row r="983" ht="15.75" customHeight="1">
      <c r="B983" s="41"/>
    </row>
    <row r="984" ht="15.75" customHeight="1">
      <c r="B984" s="41"/>
    </row>
    <row r="985" ht="15.75" customHeight="1">
      <c r="B985" s="41"/>
    </row>
    <row r="986" ht="15.75" customHeight="1">
      <c r="B986" s="41"/>
    </row>
    <row r="987" ht="15.75" customHeight="1">
      <c r="B987" s="41"/>
    </row>
    <row r="988" ht="15.75" customHeight="1">
      <c r="B988" s="41"/>
    </row>
    <row r="989" ht="15.75" customHeight="1">
      <c r="B989" s="41"/>
    </row>
    <row r="990" ht="15.75" customHeight="1">
      <c r="B990" s="41"/>
    </row>
    <row r="991" ht="15.75" customHeight="1">
      <c r="B991" s="41"/>
    </row>
    <row r="992" ht="15.75" customHeight="1">
      <c r="B992" s="41"/>
    </row>
    <row r="993" ht="15.75" customHeight="1">
      <c r="B993" s="41"/>
    </row>
    <row r="994" ht="15.75" customHeight="1">
      <c r="B994" s="41"/>
    </row>
    <row r="995" ht="15.75" customHeight="1">
      <c r="B995" s="41"/>
    </row>
    <row r="996" ht="15.75" customHeight="1">
      <c r="B996" s="41"/>
    </row>
    <row r="997" ht="15.75" customHeight="1">
      <c r="B997" s="41"/>
    </row>
    <row r="998" ht="15.75" customHeight="1">
      <c r="B998" s="41"/>
    </row>
    <row r="999" ht="15.75" customHeight="1">
      <c r="B999" s="41"/>
    </row>
    <row r="1000" ht="15.75" customHeight="1">
      <c r="B1000" s="41"/>
    </row>
    <row r="1001" ht="15.75" customHeight="1">
      <c r="B1001" s="41"/>
    </row>
  </sheetData>
  <mergeCells count="2">
    <mergeCell ref="A1:B1"/>
    <mergeCell ref="A2:B2"/>
  </mergeCells>
  <printOptions/>
  <pageMargins bottom="0.75" footer="0.0" header="0.0" left="0.7" right="0.7" top="0.75"/>
  <pageSetup orientation="landscape"/>
  <drawing r:id="rId1"/>
</worksheet>
</file>